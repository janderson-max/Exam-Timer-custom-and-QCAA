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pauls4-my.sharepoint.com/personal/j_anderson_stpauls_qld_edu_au/Documents/"/>
    </mc:Choice>
  </mc:AlternateContent>
  <xr:revisionPtr revIDLastSave="65145" documentId="8_{6BAB43F9-95F0-430C-AE64-7AF331948FF4}" xr6:coauthVersionLast="47" xr6:coauthVersionMax="47" xr10:uidLastSave="{322D301B-2FD6-4FE4-B1ED-A6C794A11480}"/>
  <bookViews>
    <workbookView xWindow="-110" yWindow="-110" windowWidth="19420" windowHeight="10300" activeTab="1" xr2:uid="{A8537BCD-71DC-6441-BC46-B6E1640E78AA}"/>
  </bookViews>
  <sheets>
    <sheet name="Custom Exam Timer" sheetId="6" r:id="rId1"/>
    <sheet name="External Exam Timer YR12" sheetId="2" r:id="rId2"/>
    <sheet name="yr12donttouch" sheetId="5" r:id="rId3"/>
    <sheet name="examdatabase" sheetId="7" r:id="rId4"/>
  </sheets>
  <definedNames>
    <definedName name="_xlnm._FilterDatabase" localSheetId="2" hidden="1">yr12donttouch!$B$7:$D$7</definedName>
    <definedName name="_xleta.N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6" l="1"/>
  <c r="G5" i="6" s="1"/>
  <c r="D5" i="6"/>
  <c r="E5" i="6" s="1"/>
  <c r="B5" i="6"/>
  <c r="C5" i="6" s="1"/>
  <c r="F4" i="6"/>
  <c r="F7" i="6" s="1"/>
  <c r="D4" i="6"/>
  <c r="D7" i="6" s="1"/>
  <c r="B4" i="6"/>
  <c r="B7" i="6" s="1"/>
  <c r="F3" i="6"/>
  <c r="G3" i="6" s="1"/>
  <c r="D3" i="6"/>
  <c r="E3" i="6" s="1"/>
  <c r="B3" i="6"/>
  <c r="C3" i="6" s="1"/>
  <c r="A3" i="6"/>
  <c r="A2" i="6"/>
  <c r="F10" i="2"/>
  <c r="F9" i="2"/>
  <c r="D10" i="2"/>
  <c r="D9" i="2"/>
  <c r="F7" i="2"/>
  <c r="D7" i="2"/>
  <c r="F6" i="2"/>
  <c r="D6" i="2"/>
  <c r="F5" i="2"/>
  <c r="G5" i="2" s="1"/>
  <c r="D5" i="2"/>
  <c r="E5" i="2" s="1"/>
  <c r="B5" i="2"/>
  <c r="C5" i="2" s="1"/>
  <c r="F4" i="2"/>
  <c r="D4" i="2"/>
  <c r="F3" i="2"/>
  <c r="G3" i="2" s="1"/>
  <c r="D3" i="2"/>
  <c r="E3" i="2" s="1"/>
  <c r="B3" i="2"/>
  <c r="C3" i="2" s="1"/>
  <c r="A3" i="2"/>
  <c r="B6" i="6" l="1"/>
  <c r="B10" i="6"/>
  <c r="B9" i="6"/>
  <c r="D6" i="6"/>
  <c r="D10" i="6"/>
  <c r="D9" i="6"/>
  <c r="F9" i="6"/>
  <c r="F10" i="6"/>
  <c r="F6" i="6"/>
  <c r="B4" i="2"/>
  <c r="B7" i="2" s="1"/>
  <c r="N2" i="5"/>
  <c r="O2" i="5"/>
  <c r="M2" i="5"/>
  <c r="I2" i="5"/>
  <c r="G2" i="5"/>
  <c r="H2" i="5"/>
  <c r="C1" i="5"/>
  <c r="A1" i="6" s="1"/>
  <c r="B6" i="2" l="1"/>
  <c r="B10" i="2"/>
  <c r="B9" i="2"/>
  <c r="A1" i="2"/>
  <c r="G5" i="5"/>
  <c r="H3" i="5"/>
  <c r="G3" i="5"/>
  <c r="I3" i="5"/>
  <c r="M3" i="5"/>
  <c r="M8" i="5"/>
  <c r="O8" i="5" s="1"/>
  <c r="G8" i="5"/>
  <c r="O4" i="5" l="1"/>
  <c r="O3" i="5"/>
  <c r="N6" i="5"/>
  <c r="N4" i="5"/>
  <c r="N7" i="5"/>
  <c r="N9" i="5" s="1"/>
  <c r="N3" i="5"/>
  <c r="G7" i="5"/>
  <c r="G9" i="5" s="1"/>
  <c r="H5" i="5"/>
  <c r="O6" i="5"/>
  <c r="O5" i="5"/>
  <c r="N5" i="5"/>
  <c r="M4" i="5"/>
  <c r="M5" i="5"/>
  <c r="N8" i="5"/>
  <c r="O7" i="5"/>
  <c r="O9" i="5" s="1"/>
  <c r="M6" i="5"/>
  <c r="M7" i="5"/>
  <c r="M9" i="5" s="1"/>
  <c r="I7" i="5"/>
  <c r="I9" i="5" s="1"/>
  <c r="I6" i="5"/>
  <c r="I4" i="5"/>
  <c r="I5" i="5"/>
  <c r="H8" i="5"/>
  <c r="I8" i="5"/>
  <c r="G6" i="5"/>
  <c r="G4" i="5"/>
  <c r="H4" i="5" l="1"/>
  <c r="H7" i="5"/>
  <c r="H9" i="5" s="1"/>
  <c r="H6" i="5"/>
</calcChain>
</file>

<file path=xl/sharedStrings.xml><?xml version="1.0" encoding="utf-8"?>
<sst xmlns="http://schemas.openxmlformats.org/spreadsheetml/2006/main" count="133" uniqueCount="110">
  <si>
    <t>Perusal Start Time:</t>
  </si>
  <si>
    <t>Working Start Time:</t>
  </si>
  <si>
    <t>Working Time Duration:</t>
  </si>
  <si>
    <t>Working Finish Time:</t>
  </si>
  <si>
    <t>Extra Time Only</t>
  </si>
  <si>
    <t>AARA Finish (5/30)</t>
  </si>
  <si>
    <t>AARA Finish (10/30)</t>
  </si>
  <si>
    <t>Agricultural Science (Paper 2)</t>
  </si>
  <si>
    <t>Marine Science (Paper 2)</t>
  </si>
  <si>
    <t>Agricultural Science (Paper 1)</t>
  </si>
  <si>
    <t>Planning Start Time:</t>
  </si>
  <si>
    <t>10 warning</t>
  </si>
  <si>
    <t>Subject 1</t>
  </si>
  <si>
    <t>Subject 2</t>
  </si>
  <si>
    <t>Subject 3</t>
  </si>
  <si>
    <t>general exam timer</t>
  </si>
  <si>
    <t>s1</t>
  </si>
  <si>
    <t>s2</t>
  </si>
  <si>
    <t>s3</t>
  </si>
  <si>
    <t>perusal</t>
  </si>
  <si>
    <t>P1</t>
  </si>
  <si>
    <t>start</t>
  </si>
  <si>
    <t>P2</t>
  </si>
  <si>
    <t xml:space="preserve">10 warning </t>
  </si>
  <si>
    <t>P3</t>
  </si>
  <si>
    <t xml:space="preserve">end </t>
  </si>
  <si>
    <t>P4</t>
  </si>
  <si>
    <t>AARA 1</t>
  </si>
  <si>
    <t>P5</t>
  </si>
  <si>
    <t>Subject</t>
  </si>
  <si>
    <t>Perusal</t>
  </si>
  <si>
    <t>duration</t>
  </si>
  <si>
    <t>AARA 2</t>
  </si>
  <si>
    <t>P6</t>
  </si>
  <si>
    <t>Aboriginal &amp; Torres Strait Islander Studies</t>
  </si>
  <si>
    <t xml:space="preserve">Accounting </t>
  </si>
  <si>
    <t xml:space="preserve">Aerospace Systems </t>
  </si>
  <si>
    <t>Perusal Time Duration:</t>
  </si>
  <si>
    <t>Planning Time Duration:</t>
  </si>
  <si>
    <t>Ancient History</t>
  </si>
  <si>
    <t>Perusal/Planning Start Time:</t>
  </si>
  <si>
    <t>Perusal/Planning Time Duration:</t>
  </si>
  <si>
    <t>Biology (Paper 1)</t>
  </si>
  <si>
    <t>Biology (Paper 2)</t>
  </si>
  <si>
    <t>Business</t>
  </si>
  <si>
    <t>Chemistry (Paper 1)</t>
  </si>
  <si>
    <t>Chemistry (Paper 2)</t>
  </si>
  <si>
    <t>Chinese</t>
  </si>
  <si>
    <t>Chinese Extension</t>
  </si>
  <si>
    <t>Dance</t>
  </si>
  <si>
    <t>Design</t>
  </si>
  <si>
    <t xml:space="preserve">Digital Solutions </t>
  </si>
  <si>
    <t>Drama</t>
  </si>
  <si>
    <t>Earth &amp; Environmental Science (Paper 1)</t>
  </si>
  <si>
    <t>Earth &amp; Environmental Science (Paper 2)</t>
  </si>
  <si>
    <t>Economics</t>
  </si>
  <si>
    <t>Engineering</t>
  </si>
  <si>
    <t>English</t>
  </si>
  <si>
    <t>English &amp; Literature Extension</t>
  </si>
  <si>
    <t>English as and Additional Language</t>
  </si>
  <si>
    <t>Film, Television &amp; New Media</t>
  </si>
  <si>
    <t>Food &amp; Nutrition</t>
  </si>
  <si>
    <t>French</t>
  </si>
  <si>
    <t>French Extension</t>
  </si>
  <si>
    <t>General Mathematics (Paper 1)</t>
  </si>
  <si>
    <t>General Mathematics (Paper 2)</t>
  </si>
  <si>
    <t>Geography</t>
  </si>
  <si>
    <t>German</t>
  </si>
  <si>
    <t>German Extension</t>
  </si>
  <si>
    <t>Health</t>
  </si>
  <si>
    <t xml:space="preserve">Italian </t>
  </si>
  <si>
    <t>Japanese</t>
  </si>
  <si>
    <t>Legal Studies</t>
  </si>
  <si>
    <t>Literature</t>
  </si>
  <si>
    <t>Marine Science (Paper 1)</t>
  </si>
  <si>
    <t>Mathematical Methods (Paper 1)</t>
  </si>
  <si>
    <t>Mathematical Methods (Paper 2)</t>
  </si>
  <si>
    <t>Modern History</t>
  </si>
  <si>
    <t>Music</t>
  </si>
  <si>
    <t>Music Extension</t>
  </si>
  <si>
    <t xml:space="preserve">Philosophy &amp; Reason </t>
  </si>
  <si>
    <t>Physical Education</t>
  </si>
  <si>
    <t>Physics (Paper 1)</t>
  </si>
  <si>
    <t>Physics (Paper 2)</t>
  </si>
  <si>
    <t>Psychology (Paper 1)</t>
  </si>
  <si>
    <t>Psychology (Paper 2)</t>
  </si>
  <si>
    <t>Spanish</t>
  </si>
  <si>
    <t>Specialist Mathematics (Paper 1)</t>
  </si>
  <si>
    <t>Specialist Mathematics (Paper 2)</t>
  </si>
  <si>
    <t>Study of Religion</t>
  </si>
  <si>
    <t>Visual Art</t>
  </si>
  <si>
    <t>Perusal/Planning time (HH:MM:SS)</t>
  </si>
  <si>
    <t>Working duration (HH:MM:SS)</t>
  </si>
  <si>
    <t xml:space="preserve">DROPDOWN </t>
  </si>
  <si>
    <t>click dropdown ^</t>
  </si>
  <si>
    <t>CLICK DROPDOWN TO CHOOSE EXAM 1</t>
  </si>
  <si>
    <t>CLICK DROPDOWN TO CHOOSE EXAM 2</t>
  </si>
  <si>
    <t>CLICK DROPDOWN TO CHOOSE EXAM 3</t>
  </si>
  <si>
    <t>10 Min Warning Time:</t>
  </si>
  <si>
    <t>mins</t>
  </si>
  <si>
    <t>hrs</t>
  </si>
  <si>
    <t>Year/Subject/Unit/Paper</t>
  </si>
  <si>
    <t>11 Mathematical Methods Unit 1 Paper 2</t>
  </si>
  <si>
    <t>11 Specialist Mathematics Unit 1</t>
  </si>
  <si>
    <t>11 Mathematical Methods Unit 1 TF</t>
  </si>
  <si>
    <t>11 Mathematical Methods Unit 1 TA</t>
  </si>
  <si>
    <t>11 General Mathematics Unit 1 TF</t>
  </si>
  <si>
    <t>11 General Mathematics Unit 1 TA</t>
  </si>
  <si>
    <t xml:space="preserve">10 Math Advanced term 1 </t>
  </si>
  <si>
    <t>10 Advanced Mathematics Term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</si>
</sst>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:ss\ AM/PM;@"/>
    <numFmt numFmtId="165" formatCode="[$-F400]h:mm:ss\ AM/PM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000000"/>
      <name val="Calibri"/>
      <family val="2"/>
    </font>
    <font>
      <b/>
      <sz val="2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40">
    <xf numFmtId="0" fontId="0" fillId="0" borderId="0" xfId="0"/>
    <xf numFmtId="20" fontId="0" fillId="0" borderId="0" xfId="0" applyNumberFormat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5" borderId="4" xfId="0" applyFont="1" applyFill="1" applyBorder="1"/>
    <xf numFmtId="0" fontId="0" fillId="6" borderId="2" xfId="0" applyFill="1" applyBorder="1"/>
    <xf numFmtId="22" fontId="0" fillId="0" borderId="0" xfId="0" applyNumberFormat="1"/>
    <xf numFmtId="19" fontId="0" fillId="0" borderId="0" xfId="0" applyNumberFormat="1"/>
    <xf numFmtId="19" fontId="0" fillId="2" borderId="1" xfId="0" applyNumberFormat="1" applyFill="1" applyBorder="1" applyAlignment="1">
      <alignment horizontal="right"/>
    </xf>
    <xf numFmtId="21" fontId="0" fillId="0" borderId="1" xfId="0" applyNumberFormat="1" applyBorder="1" applyAlignment="1">
      <alignment horizontal="right"/>
    </xf>
    <xf numFmtId="19" fontId="0" fillId="4" borderId="1" xfId="0" applyNumberFormat="1" applyFill="1" applyBorder="1" applyAlignment="1">
      <alignment horizontal="right"/>
    </xf>
    <xf numFmtId="19" fontId="0" fillId="6" borderId="1" xfId="0" applyNumberFormat="1" applyFill="1" applyBorder="1" applyAlignment="1">
      <alignment horizontal="right"/>
    </xf>
    <xf numFmtId="19" fontId="1" fillId="5" borderId="3" xfId="0" applyNumberFormat="1" applyFont="1" applyFill="1" applyBorder="1" applyAlignment="1">
      <alignment horizontal="right"/>
    </xf>
    <xf numFmtId="0" fontId="0" fillId="0" borderId="5" xfId="0" applyBorder="1"/>
    <xf numFmtId="0" fontId="0" fillId="4" borderId="5" xfId="0" applyFill="1" applyBorder="1"/>
    <xf numFmtId="0" fontId="0" fillId="6" borderId="6" xfId="0" applyFill="1" applyBorder="1"/>
    <xf numFmtId="0" fontId="1" fillId="5" borderId="7" xfId="0" applyFont="1" applyFill="1" applyBorder="1"/>
    <xf numFmtId="21" fontId="0" fillId="0" borderId="0" xfId="0" applyNumberFormat="1"/>
    <xf numFmtId="2" fontId="0" fillId="0" borderId="0" xfId="0" applyNumberFormat="1"/>
    <xf numFmtId="0" fontId="0" fillId="7" borderId="8" xfId="0" applyFill="1" applyBorder="1"/>
    <xf numFmtId="19" fontId="0" fillId="7" borderId="10" xfId="0" applyNumberFormat="1" applyFill="1" applyBorder="1"/>
    <xf numFmtId="19" fontId="0" fillId="7" borderId="11" xfId="0" applyNumberFormat="1" applyFill="1" applyBorder="1"/>
    <xf numFmtId="0" fontId="0" fillId="7" borderId="12" xfId="0" applyFill="1" applyBorder="1"/>
    <xf numFmtId="165" fontId="0" fillId="0" borderId="0" xfId="0" applyNumberFormat="1"/>
    <xf numFmtId="0" fontId="0" fillId="8" borderId="7" xfId="0" applyFill="1" applyBorder="1"/>
    <xf numFmtId="19" fontId="0" fillId="8" borderId="3" xfId="0" applyNumberFormat="1" applyFill="1" applyBorder="1"/>
    <xf numFmtId="0" fontId="0" fillId="8" borderId="4" xfId="0" applyFill="1" applyBorder="1"/>
    <xf numFmtId="19" fontId="0" fillId="8" borderId="9" xfId="0" applyNumberFormat="1" applyFill="1" applyBorder="1"/>
    <xf numFmtId="46" fontId="0" fillId="0" borderId="0" xfId="0" applyNumberFormat="1"/>
    <xf numFmtId="0" fontId="4" fillId="9" borderId="18" xfId="0" applyFont="1" applyFill="1" applyBorder="1" applyAlignment="1">
      <alignment vertical="center" wrapText="1"/>
    </xf>
    <xf numFmtId="0" fontId="5" fillId="9" borderId="18" xfId="0" applyFont="1" applyFill="1" applyBorder="1" applyAlignment="1">
      <alignment vertical="center" wrapText="1"/>
    </xf>
    <xf numFmtId="2" fontId="0" fillId="2" borderId="17" xfId="0" applyNumberFormat="1" applyFill="1" applyBorder="1"/>
    <xf numFmtId="49" fontId="0" fillId="0" borderId="0" xfId="0" applyNumberFormat="1"/>
    <xf numFmtId="164" fontId="7" fillId="3" borderId="16" xfId="0" applyNumberFormat="1" applyFont="1" applyFill="1" applyBorder="1" applyAlignment="1">
      <alignment horizontal="center" vertical="center"/>
    </xf>
    <xf numFmtId="22" fontId="3" fillId="3" borderId="13" xfId="0" applyNumberFormat="1" applyFont="1" applyFill="1" applyBorder="1" applyAlignment="1">
      <alignment horizontal="center" vertical="center" wrapText="1"/>
    </xf>
    <xf numFmtId="22" fontId="3" fillId="3" borderId="15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</cellXfs>
  <cellStyles count="1">
    <cellStyle name="Normal" xfId="0" builtinId="0"/>
  </cellStyles>
  <dxfs count="50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3113</xdr:colOff>
      <xdr:row>12</xdr:row>
      <xdr:rowOff>80139</xdr:rowOff>
    </xdr:from>
    <xdr:to>
      <xdr:col>0</xdr:col>
      <xdr:colOff>723113</xdr:colOff>
      <xdr:row>14</xdr:row>
      <xdr:rowOff>46962</xdr:rowOff>
    </xdr:to>
    <xdr:sp macro="[0]!CustomExamDetai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13" y="2714324"/>
          <a:ext cx="720000" cy="36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500"/>
            <a:t>Enter custom</a:t>
          </a:r>
          <a:r>
            <a:rPr lang="en-AU" sz="500" baseline="0"/>
            <a:t> </a:t>
          </a:r>
          <a:r>
            <a:rPr lang="en-AU" sz="500"/>
            <a:t>exam details here:</a:t>
          </a:r>
        </a:p>
      </xdr:txBody>
    </xdr:sp>
    <xdr:clientData/>
  </xdr:twoCellAnchor>
  <xdr:twoCellAnchor editAs="oneCell">
    <xdr:from>
      <xdr:col>0</xdr:col>
      <xdr:colOff>802561</xdr:colOff>
      <xdr:row>10</xdr:row>
      <xdr:rowOff>63106</xdr:rowOff>
    </xdr:from>
    <xdr:to>
      <xdr:col>0</xdr:col>
      <xdr:colOff>1522561</xdr:colOff>
      <xdr:row>11</xdr:row>
      <xdr:rowOff>45873</xdr:rowOff>
    </xdr:to>
    <xdr:sp macro="[0]!HideEXAM1AND2" textlink="">
      <xdr:nvSpPr>
        <xdr:cNvPr id="14" name="Rectangle 13">
          <a:extLst>
            <a:ext uri="{FF2B5EF4-FFF2-40B4-BE49-F238E27FC236}">
              <a16:creationId xmlns:a16="http://schemas.microsoft.com/office/drawing/2014/main" id="{8A006A1D-4415-4B07-B426-CEFF46CE4178}"/>
            </a:ext>
          </a:extLst>
        </xdr:cNvPr>
        <xdr:cNvSpPr/>
      </xdr:nvSpPr>
      <xdr:spPr>
        <a:xfrm>
          <a:off x="802561" y="2334038"/>
          <a:ext cx="720000" cy="178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1 Exam</a:t>
          </a:r>
        </a:p>
      </xdr:txBody>
    </xdr:sp>
    <xdr:clientData/>
  </xdr:twoCellAnchor>
  <xdr:twoCellAnchor editAs="oneCell">
    <xdr:from>
      <xdr:col>0</xdr:col>
      <xdr:colOff>802499</xdr:colOff>
      <xdr:row>11</xdr:row>
      <xdr:rowOff>66717</xdr:rowOff>
    </xdr:from>
    <xdr:to>
      <xdr:col>0</xdr:col>
      <xdr:colOff>1522499</xdr:colOff>
      <xdr:row>12</xdr:row>
      <xdr:rowOff>45920</xdr:rowOff>
    </xdr:to>
    <xdr:sp macro="[0]!HideEXAM3" textlink="">
      <xdr:nvSpPr>
        <xdr:cNvPr id="16" name="Rectangle 15">
          <a:extLst>
            <a:ext uri="{FF2B5EF4-FFF2-40B4-BE49-F238E27FC236}">
              <a16:creationId xmlns:a16="http://schemas.microsoft.com/office/drawing/2014/main" id="{A9EDDF63-B29C-4F6B-9D6B-E15F3699A015}"/>
            </a:ext>
          </a:extLst>
        </xdr:cNvPr>
        <xdr:cNvSpPr/>
      </xdr:nvSpPr>
      <xdr:spPr>
        <a:xfrm>
          <a:off x="802499" y="2536759"/>
          <a:ext cx="720000" cy="18149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50"/>
            <a:t>2 Exams</a:t>
          </a:r>
        </a:p>
      </xdr:txBody>
    </xdr:sp>
    <xdr:clientData/>
  </xdr:twoCellAnchor>
  <xdr:twoCellAnchor editAs="oneCell">
    <xdr:from>
      <xdr:col>0</xdr:col>
      <xdr:colOff>802946</xdr:colOff>
      <xdr:row>12</xdr:row>
      <xdr:rowOff>71775</xdr:rowOff>
    </xdr:from>
    <xdr:to>
      <xdr:col>0</xdr:col>
      <xdr:colOff>1522946</xdr:colOff>
      <xdr:row>13</xdr:row>
      <xdr:rowOff>47759</xdr:rowOff>
    </xdr:to>
    <xdr:sp macro="[0]!hideNOEXAMS" textlink="">
      <xdr:nvSpPr>
        <xdr:cNvPr id="17" name="Rectangle 16">
          <a:extLst>
            <a:ext uri="{FF2B5EF4-FFF2-40B4-BE49-F238E27FC236}">
              <a16:creationId xmlns:a16="http://schemas.microsoft.com/office/drawing/2014/main" id="{721AE99F-0368-4D0D-9411-A865D0157281}"/>
            </a:ext>
          </a:extLst>
        </xdr:cNvPr>
        <xdr:cNvSpPr/>
      </xdr:nvSpPr>
      <xdr:spPr>
        <a:xfrm>
          <a:off x="802946" y="2740928"/>
          <a:ext cx="720000" cy="178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50"/>
            <a:t>3 Exams</a:t>
          </a:r>
        </a:p>
      </xdr:txBody>
    </xdr:sp>
    <xdr:clientData/>
  </xdr:twoCellAnchor>
  <xdr:twoCellAnchor editAs="oneCell">
    <xdr:from>
      <xdr:col>1</xdr:col>
      <xdr:colOff>5738</xdr:colOff>
      <xdr:row>10</xdr:row>
      <xdr:rowOff>59358</xdr:rowOff>
    </xdr:from>
    <xdr:to>
      <xdr:col>1</xdr:col>
      <xdr:colOff>731861</xdr:colOff>
      <xdr:row>11</xdr:row>
      <xdr:rowOff>45059</xdr:rowOff>
    </xdr:to>
    <xdr:sp macro="[0]!StartExam1" textlink="">
      <xdr:nvSpPr>
        <xdr:cNvPr id="18" name="Rectangle 17">
          <a:extLst>
            <a:ext uri="{FF2B5EF4-FFF2-40B4-BE49-F238E27FC236}">
              <a16:creationId xmlns:a16="http://schemas.microsoft.com/office/drawing/2014/main" id="{FFA9FB01-22A4-4403-AEA1-7DCF72C81876}"/>
            </a:ext>
          </a:extLst>
        </xdr:cNvPr>
        <xdr:cNvSpPr>
          <a:spLocks noChangeAspect="1"/>
        </xdr:cNvSpPr>
      </xdr:nvSpPr>
      <xdr:spPr>
        <a:xfrm>
          <a:off x="1571713" y="2330290"/>
          <a:ext cx="722948" cy="1816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800"/>
            <a:t>set time 1</a:t>
          </a:r>
        </a:p>
      </xdr:txBody>
    </xdr:sp>
    <xdr:clientData/>
  </xdr:twoCellAnchor>
  <xdr:twoCellAnchor editAs="oneCell">
    <xdr:from>
      <xdr:col>1</xdr:col>
      <xdr:colOff>5876</xdr:colOff>
      <xdr:row>11</xdr:row>
      <xdr:rowOff>63772</xdr:rowOff>
    </xdr:from>
    <xdr:to>
      <xdr:col>1</xdr:col>
      <xdr:colOff>731999</xdr:colOff>
      <xdr:row>12</xdr:row>
      <xdr:rowOff>46798</xdr:rowOff>
    </xdr:to>
    <xdr:sp macro="[0]!StartExam2" textlink="">
      <xdr:nvSpPr>
        <xdr:cNvPr id="20" name="Rectangle 19">
          <a:extLst>
            <a:ext uri="{FF2B5EF4-FFF2-40B4-BE49-F238E27FC236}">
              <a16:creationId xmlns:a16="http://schemas.microsoft.com/office/drawing/2014/main" id="{3B7FF971-DD3D-46D1-8881-8CC1571BD028}"/>
            </a:ext>
          </a:extLst>
        </xdr:cNvPr>
        <xdr:cNvSpPr>
          <a:spLocks noChangeAspect="1"/>
        </xdr:cNvSpPr>
      </xdr:nvSpPr>
      <xdr:spPr>
        <a:xfrm>
          <a:off x="1571851" y="2533814"/>
          <a:ext cx="722948" cy="1789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800"/>
            <a:t>set time 2</a:t>
          </a:r>
        </a:p>
      </xdr:txBody>
    </xdr:sp>
    <xdr:clientData/>
  </xdr:twoCellAnchor>
  <xdr:twoCellAnchor editAs="oneCell">
    <xdr:from>
      <xdr:col>1</xdr:col>
      <xdr:colOff>6695</xdr:colOff>
      <xdr:row>12</xdr:row>
      <xdr:rowOff>65843</xdr:rowOff>
    </xdr:from>
    <xdr:to>
      <xdr:col>1</xdr:col>
      <xdr:colOff>732818</xdr:colOff>
      <xdr:row>13</xdr:row>
      <xdr:rowOff>48868</xdr:rowOff>
    </xdr:to>
    <xdr:sp macro="[0]!StartExam3" textlink="">
      <xdr:nvSpPr>
        <xdr:cNvPr id="21" name="Rectangle 20">
          <a:extLst>
            <a:ext uri="{FF2B5EF4-FFF2-40B4-BE49-F238E27FC236}">
              <a16:creationId xmlns:a16="http://schemas.microsoft.com/office/drawing/2014/main" id="{42081F29-CB31-423B-B16E-0DD7BAF7AB09}"/>
            </a:ext>
          </a:extLst>
        </xdr:cNvPr>
        <xdr:cNvSpPr>
          <a:spLocks noChangeAspect="1"/>
        </xdr:cNvSpPr>
      </xdr:nvSpPr>
      <xdr:spPr>
        <a:xfrm>
          <a:off x="1572670" y="2734996"/>
          <a:ext cx="722948" cy="17896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800"/>
            <a:t>set time 3</a:t>
          </a:r>
        </a:p>
      </xdr:txBody>
    </xdr:sp>
    <xdr:clientData/>
  </xdr:twoCellAnchor>
  <xdr:twoCellAnchor editAs="oneCell">
    <xdr:from>
      <xdr:col>1</xdr:col>
      <xdr:colOff>5591</xdr:colOff>
      <xdr:row>13</xdr:row>
      <xdr:rowOff>71463</xdr:rowOff>
    </xdr:from>
    <xdr:to>
      <xdr:col>1</xdr:col>
      <xdr:colOff>731714</xdr:colOff>
      <xdr:row>14</xdr:row>
      <xdr:rowOff>47758</xdr:rowOff>
    </xdr:to>
    <xdr:sp macro="[0]!StartExamALL" textlink="">
      <xdr:nvSpPr>
        <xdr:cNvPr id="22" name="Rectangle 21">
          <a:extLst>
            <a:ext uri="{FF2B5EF4-FFF2-40B4-BE49-F238E27FC236}">
              <a16:creationId xmlns:a16="http://schemas.microsoft.com/office/drawing/2014/main" id="{1D68B244-C914-464E-B503-2E0B3FD0F216}"/>
            </a:ext>
          </a:extLst>
        </xdr:cNvPr>
        <xdr:cNvSpPr>
          <a:spLocks noChangeAspect="1"/>
        </xdr:cNvSpPr>
      </xdr:nvSpPr>
      <xdr:spPr>
        <a:xfrm>
          <a:off x="1571566" y="2939726"/>
          <a:ext cx="722948" cy="17857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700"/>
            <a:t>set all time</a:t>
          </a:r>
        </a:p>
      </xdr:txBody>
    </xdr:sp>
    <xdr:clientData/>
  </xdr:twoCellAnchor>
  <xdr:twoCellAnchor editAs="oneCell">
    <xdr:from>
      <xdr:col>1</xdr:col>
      <xdr:colOff>786840</xdr:colOff>
      <xdr:row>11</xdr:row>
      <xdr:rowOff>68728</xdr:rowOff>
    </xdr:from>
    <xdr:to>
      <xdr:col>3</xdr:col>
      <xdr:colOff>255753</xdr:colOff>
      <xdr:row>12</xdr:row>
      <xdr:rowOff>45019</xdr:rowOff>
    </xdr:to>
    <xdr:sp macro="[0]!ShowAARA5" textlink="">
      <xdr:nvSpPr>
        <xdr:cNvPr id="23" name="Rectangle 22">
          <a:extLst>
            <a:ext uri="{FF2B5EF4-FFF2-40B4-BE49-F238E27FC236}">
              <a16:creationId xmlns:a16="http://schemas.microsoft.com/office/drawing/2014/main" id="{A4584559-08A5-43E1-92A2-32CECB674730}"/>
            </a:ext>
          </a:extLst>
        </xdr:cNvPr>
        <xdr:cNvSpPr/>
      </xdr:nvSpPr>
      <xdr:spPr>
        <a:xfrm>
          <a:off x="2356271" y="2510639"/>
          <a:ext cx="715087" cy="17564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700"/>
            <a:t>AARA5</a:t>
          </a:r>
        </a:p>
      </xdr:txBody>
    </xdr:sp>
    <xdr:clientData/>
  </xdr:twoCellAnchor>
  <xdr:twoCellAnchor editAs="oneCell">
    <xdr:from>
      <xdr:col>1</xdr:col>
      <xdr:colOff>785325</xdr:colOff>
      <xdr:row>12</xdr:row>
      <xdr:rowOff>75279</xdr:rowOff>
    </xdr:from>
    <xdr:to>
      <xdr:col>3</xdr:col>
      <xdr:colOff>254238</xdr:colOff>
      <xdr:row>13</xdr:row>
      <xdr:rowOff>56903</xdr:rowOff>
    </xdr:to>
    <xdr:sp macro="[0]!ShowAARA10" textlink="">
      <xdr:nvSpPr>
        <xdr:cNvPr id="24" name="Rectangle 23">
          <a:extLst>
            <a:ext uri="{FF2B5EF4-FFF2-40B4-BE49-F238E27FC236}">
              <a16:creationId xmlns:a16="http://schemas.microsoft.com/office/drawing/2014/main" id="{BF1F772C-08C7-472C-9D3F-DFCBB02D1671}"/>
            </a:ext>
          </a:extLst>
        </xdr:cNvPr>
        <xdr:cNvSpPr/>
      </xdr:nvSpPr>
      <xdr:spPr>
        <a:xfrm>
          <a:off x="2354756" y="2713368"/>
          <a:ext cx="715087" cy="17780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700"/>
            <a:t>AARA10</a:t>
          </a:r>
        </a:p>
      </xdr:txBody>
    </xdr:sp>
    <xdr:clientData/>
  </xdr:twoCellAnchor>
  <xdr:twoCellAnchor editAs="oneCell">
    <xdr:from>
      <xdr:col>1</xdr:col>
      <xdr:colOff>785321</xdr:colOff>
      <xdr:row>13</xdr:row>
      <xdr:rowOff>82283</xdr:rowOff>
    </xdr:from>
    <xdr:to>
      <xdr:col>3</xdr:col>
      <xdr:colOff>254234</xdr:colOff>
      <xdr:row>14</xdr:row>
      <xdr:rowOff>64274</xdr:rowOff>
    </xdr:to>
    <xdr:sp macro="[0]!ShowAARA510" textlink="">
      <xdr:nvSpPr>
        <xdr:cNvPr id="25" name="Rectangle 24">
          <a:extLst>
            <a:ext uri="{FF2B5EF4-FFF2-40B4-BE49-F238E27FC236}">
              <a16:creationId xmlns:a16="http://schemas.microsoft.com/office/drawing/2014/main" id="{3664B444-E81D-4154-8324-4EF856454BF4}"/>
            </a:ext>
          </a:extLst>
        </xdr:cNvPr>
        <xdr:cNvSpPr/>
      </xdr:nvSpPr>
      <xdr:spPr>
        <a:xfrm>
          <a:off x="2354752" y="2916551"/>
          <a:ext cx="715087" cy="17499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600"/>
            <a:t>AARA5&amp;10</a:t>
          </a:r>
        </a:p>
      </xdr:txBody>
    </xdr:sp>
    <xdr:clientData/>
  </xdr:twoCellAnchor>
  <xdr:twoCellAnchor editAs="oneCell">
    <xdr:from>
      <xdr:col>1</xdr:col>
      <xdr:colOff>8505</xdr:colOff>
      <xdr:row>14</xdr:row>
      <xdr:rowOff>76163</xdr:rowOff>
    </xdr:from>
    <xdr:to>
      <xdr:col>1</xdr:col>
      <xdr:colOff>733094</xdr:colOff>
      <xdr:row>15</xdr:row>
      <xdr:rowOff>55631</xdr:rowOff>
    </xdr:to>
    <xdr:sp macro="[0]!TimeReset" textlink="">
      <xdr:nvSpPr>
        <xdr:cNvPr id="26" name="Rectangle 25">
          <a:extLst>
            <a:ext uri="{FF2B5EF4-FFF2-40B4-BE49-F238E27FC236}">
              <a16:creationId xmlns:a16="http://schemas.microsoft.com/office/drawing/2014/main" id="{52E0A5CE-6098-4135-B94E-6973C6AFB67D}"/>
            </a:ext>
          </a:extLst>
        </xdr:cNvPr>
        <xdr:cNvSpPr>
          <a:spLocks noChangeAspect="1"/>
        </xdr:cNvSpPr>
      </xdr:nvSpPr>
      <xdr:spPr>
        <a:xfrm>
          <a:off x="1574480" y="3143536"/>
          <a:ext cx="721414" cy="17857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600"/>
            <a:t>Reset</a:t>
          </a:r>
          <a:r>
            <a:rPr lang="en-AU" sz="600" baseline="0"/>
            <a:t> times</a:t>
          </a:r>
          <a:endParaRPr lang="en-AU" sz="600"/>
        </a:p>
      </xdr:txBody>
    </xdr:sp>
    <xdr:clientData/>
  </xdr:twoCellAnchor>
  <xdr:twoCellAnchor editAs="oneCell">
    <xdr:from>
      <xdr:col>1</xdr:col>
      <xdr:colOff>783537</xdr:colOff>
      <xdr:row>10</xdr:row>
      <xdr:rowOff>60494</xdr:rowOff>
    </xdr:from>
    <xdr:to>
      <xdr:col>3</xdr:col>
      <xdr:colOff>249275</xdr:colOff>
      <xdr:row>11</xdr:row>
      <xdr:rowOff>44848</xdr:rowOff>
    </xdr:to>
    <xdr:sp macro="[0]!HideAARAs" textlink="">
      <xdr:nvSpPr>
        <xdr:cNvPr id="27" name="Rectangle 26">
          <a:extLst>
            <a:ext uri="{FF2B5EF4-FFF2-40B4-BE49-F238E27FC236}">
              <a16:creationId xmlns:a16="http://schemas.microsoft.com/office/drawing/2014/main" id="{8294CE03-1F84-47AA-9F88-E2B59CA1690B}"/>
            </a:ext>
          </a:extLst>
        </xdr:cNvPr>
        <xdr:cNvSpPr/>
      </xdr:nvSpPr>
      <xdr:spPr>
        <a:xfrm>
          <a:off x="2352968" y="2306226"/>
          <a:ext cx="715087" cy="17735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700"/>
            <a:t>NO AARA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10</xdr:row>
          <xdr:rowOff>57150</xdr:rowOff>
        </xdr:from>
        <xdr:to>
          <xdr:col>0</xdr:col>
          <xdr:colOff>723900</xdr:colOff>
          <xdr:row>12</xdr:row>
          <xdr:rowOff>19050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ACTIVATE CLOCK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96540</xdr:rowOff>
    </xdr:from>
    <xdr:to>
      <xdr:col>0</xdr:col>
      <xdr:colOff>716825</xdr:colOff>
      <xdr:row>17</xdr:row>
      <xdr:rowOff>50537</xdr:rowOff>
    </xdr:to>
    <xdr:sp macro="[0]!RESETGENERAL" textlink="">
      <xdr:nvSpPr>
        <xdr:cNvPr id="30" name="Rectangle 29">
          <a:extLst>
            <a:ext uri="{FF2B5EF4-FFF2-40B4-BE49-F238E27FC236}">
              <a16:creationId xmlns:a16="http://schemas.microsoft.com/office/drawing/2014/main" id="{9530DEB0-9E50-4B7B-C58E-C70637C57726}"/>
            </a:ext>
          </a:extLst>
        </xdr:cNvPr>
        <xdr:cNvSpPr/>
      </xdr:nvSpPr>
      <xdr:spPr>
        <a:xfrm>
          <a:off x="0" y="2534121"/>
          <a:ext cx="720000" cy="54075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MISTAKE</a:t>
          </a:r>
          <a:r>
            <a:rPr lang="en-AU" sz="1100" baseline="0"/>
            <a:t> BUTTON</a:t>
          </a:r>
          <a:endParaRPr lang="en-AU" sz="1100"/>
        </a:p>
      </xdr:txBody>
    </xdr:sp>
    <xdr:clientData/>
  </xdr:twoCellAnchor>
  <xdr:twoCellAnchor editAs="oneCell">
    <xdr:from>
      <xdr:col>0</xdr:col>
      <xdr:colOff>798888</xdr:colOff>
      <xdr:row>14</xdr:row>
      <xdr:rowOff>102214</xdr:rowOff>
    </xdr:from>
    <xdr:to>
      <xdr:col>0</xdr:col>
      <xdr:colOff>1515713</xdr:colOff>
      <xdr:row>17</xdr:row>
      <xdr:rowOff>48992</xdr:rowOff>
    </xdr:to>
    <xdr:sp macro="[0]!HidePERUSAL" textlink="">
      <xdr:nvSpPr>
        <xdr:cNvPr id="3" name="Rectangle 2">
          <a:extLst>
            <a:ext uri="{FF2B5EF4-FFF2-40B4-BE49-F238E27FC236}">
              <a16:creationId xmlns:a16="http://schemas.microsoft.com/office/drawing/2014/main" id="{6DDD6AF9-549D-4CCE-0DAA-35C33D398D1D}"/>
            </a:ext>
          </a:extLst>
        </xdr:cNvPr>
        <xdr:cNvSpPr/>
      </xdr:nvSpPr>
      <xdr:spPr>
        <a:xfrm>
          <a:off x="798888" y="2539795"/>
          <a:ext cx="720000" cy="53989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Toggle</a:t>
          </a:r>
          <a:r>
            <a:rPr lang="en-AU" sz="1100" baseline="0"/>
            <a:t> Perusal</a:t>
          </a:r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797181</xdr:colOff>
      <xdr:row>10</xdr:row>
      <xdr:rowOff>35662</xdr:rowOff>
    </xdr:from>
    <xdr:to>
      <xdr:col>0</xdr:col>
      <xdr:colOff>1517181</xdr:colOff>
      <xdr:row>11</xdr:row>
      <xdr:rowOff>17681</xdr:rowOff>
    </xdr:to>
    <xdr:sp macro="[0]!HideEXAM1AND2" textlink="">
      <xdr:nvSpPr>
        <xdr:cNvPr id="40" name="Rectangle 39">
          <a:extLst>
            <a:ext uri="{FF2B5EF4-FFF2-40B4-BE49-F238E27FC236}">
              <a16:creationId xmlns:a16="http://schemas.microsoft.com/office/drawing/2014/main" id="{913FC740-07BE-4E9F-8301-7F1949987525}"/>
            </a:ext>
          </a:extLst>
        </xdr:cNvPr>
        <xdr:cNvSpPr/>
      </xdr:nvSpPr>
      <xdr:spPr>
        <a:xfrm>
          <a:off x="797181" y="2287026"/>
          <a:ext cx="720000" cy="17925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1 Exam</a:t>
          </a:r>
        </a:p>
      </xdr:txBody>
    </xdr:sp>
    <xdr:clientData/>
  </xdr:twoCellAnchor>
  <xdr:twoCellAnchor editAs="oneCell">
    <xdr:from>
      <xdr:col>0</xdr:col>
      <xdr:colOff>797119</xdr:colOff>
      <xdr:row>11</xdr:row>
      <xdr:rowOff>41702</xdr:rowOff>
    </xdr:from>
    <xdr:to>
      <xdr:col>0</xdr:col>
      <xdr:colOff>1517119</xdr:colOff>
      <xdr:row>12</xdr:row>
      <xdr:rowOff>26512</xdr:rowOff>
    </xdr:to>
    <xdr:sp macro="[0]!HideEXAM3" textlink="">
      <xdr:nvSpPr>
        <xdr:cNvPr id="41" name="Rectangle 40">
          <a:extLst>
            <a:ext uri="{FF2B5EF4-FFF2-40B4-BE49-F238E27FC236}">
              <a16:creationId xmlns:a16="http://schemas.microsoft.com/office/drawing/2014/main" id="{DF67AE4D-C673-4256-BCEA-51B243583A72}"/>
            </a:ext>
          </a:extLst>
        </xdr:cNvPr>
        <xdr:cNvSpPr/>
      </xdr:nvSpPr>
      <xdr:spPr>
        <a:xfrm>
          <a:off x="797119" y="2490300"/>
          <a:ext cx="720000" cy="18204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50"/>
            <a:t>2 Exams</a:t>
          </a:r>
        </a:p>
      </xdr:txBody>
    </xdr:sp>
    <xdr:clientData/>
  </xdr:twoCellAnchor>
  <xdr:twoCellAnchor editAs="oneCell">
    <xdr:from>
      <xdr:col>0</xdr:col>
      <xdr:colOff>797566</xdr:colOff>
      <xdr:row>12</xdr:row>
      <xdr:rowOff>49190</xdr:rowOff>
    </xdr:from>
    <xdr:to>
      <xdr:col>0</xdr:col>
      <xdr:colOff>1517566</xdr:colOff>
      <xdr:row>13</xdr:row>
      <xdr:rowOff>30779</xdr:rowOff>
    </xdr:to>
    <xdr:sp macro="[0]!hideNOEXAMS" textlink="">
      <xdr:nvSpPr>
        <xdr:cNvPr id="42" name="Rectangle 41">
          <a:extLst>
            <a:ext uri="{FF2B5EF4-FFF2-40B4-BE49-F238E27FC236}">
              <a16:creationId xmlns:a16="http://schemas.microsoft.com/office/drawing/2014/main" id="{B176EBAB-28EB-4B61-913D-B6B10A793607}"/>
            </a:ext>
          </a:extLst>
        </xdr:cNvPr>
        <xdr:cNvSpPr/>
      </xdr:nvSpPr>
      <xdr:spPr>
        <a:xfrm>
          <a:off x="797566" y="2695023"/>
          <a:ext cx="720000" cy="1788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50"/>
            <a:t>3 Exams</a:t>
          </a:r>
        </a:p>
      </xdr:txBody>
    </xdr:sp>
    <xdr:clientData/>
  </xdr:twoCellAnchor>
  <xdr:twoCellAnchor editAs="oneCell">
    <xdr:from>
      <xdr:col>0</xdr:col>
      <xdr:colOff>1585383</xdr:colOff>
      <xdr:row>10</xdr:row>
      <xdr:rowOff>31914</xdr:rowOff>
    </xdr:from>
    <xdr:to>
      <xdr:col>1</xdr:col>
      <xdr:colOff>721449</xdr:colOff>
      <xdr:row>11</xdr:row>
      <xdr:rowOff>16867</xdr:rowOff>
    </xdr:to>
    <xdr:sp macro="[0]!StartExam1" textlink="">
      <xdr:nvSpPr>
        <xdr:cNvPr id="43" name="Rectangle 42">
          <a:extLst>
            <a:ext uri="{FF2B5EF4-FFF2-40B4-BE49-F238E27FC236}">
              <a16:creationId xmlns:a16="http://schemas.microsoft.com/office/drawing/2014/main" id="{C8044DEC-1D64-421F-BDF8-56CC7B1B8B01}"/>
            </a:ext>
          </a:extLst>
        </xdr:cNvPr>
        <xdr:cNvSpPr>
          <a:spLocks noChangeAspect="1"/>
        </xdr:cNvSpPr>
      </xdr:nvSpPr>
      <xdr:spPr>
        <a:xfrm>
          <a:off x="1585383" y="2283278"/>
          <a:ext cx="720000" cy="18218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800"/>
            <a:t>set time 1</a:t>
          </a:r>
        </a:p>
      </xdr:txBody>
    </xdr:sp>
    <xdr:clientData/>
  </xdr:twoCellAnchor>
  <xdr:twoCellAnchor editAs="oneCell">
    <xdr:from>
      <xdr:col>0</xdr:col>
      <xdr:colOff>1585521</xdr:colOff>
      <xdr:row>11</xdr:row>
      <xdr:rowOff>38757</xdr:rowOff>
    </xdr:from>
    <xdr:to>
      <xdr:col>1</xdr:col>
      <xdr:colOff>721587</xdr:colOff>
      <xdr:row>12</xdr:row>
      <xdr:rowOff>21040</xdr:rowOff>
    </xdr:to>
    <xdr:sp macro="[0]!StartExam2" textlink="">
      <xdr:nvSpPr>
        <xdr:cNvPr id="44" name="Rectangle 43">
          <a:extLst>
            <a:ext uri="{FF2B5EF4-FFF2-40B4-BE49-F238E27FC236}">
              <a16:creationId xmlns:a16="http://schemas.microsoft.com/office/drawing/2014/main" id="{B483F624-C3A1-4085-9509-A8263E61EF7F}"/>
            </a:ext>
          </a:extLst>
        </xdr:cNvPr>
        <xdr:cNvSpPr>
          <a:spLocks noChangeAspect="1"/>
        </xdr:cNvSpPr>
      </xdr:nvSpPr>
      <xdr:spPr>
        <a:xfrm>
          <a:off x="1585521" y="2487355"/>
          <a:ext cx="720000" cy="17951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800"/>
            <a:t>set time 2</a:t>
          </a:r>
        </a:p>
      </xdr:txBody>
    </xdr:sp>
    <xdr:clientData/>
  </xdr:twoCellAnchor>
  <xdr:twoCellAnchor editAs="oneCell">
    <xdr:from>
      <xdr:col>0</xdr:col>
      <xdr:colOff>1586340</xdr:colOff>
      <xdr:row>12</xdr:row>
      <xdr:rowOff>43258</xdr:rowOff>
    </xdr:from>
    <xdr:to>
      <xdr:col>1</xdr:col>
      <xdr:colOff>722406</xdr:colOff>
      <xdr:row>13</xdr:row>
      <xdr:rowOff>25538</xdr:rowOff>
    </xdr:to>
    <xdr:sp macro="[0]!StartExam3" textlink="">
      <xdr:nvSpPr>
        <xdr:cNvPr id="45" name="Rectangle 44">
          <a:extLst>
            <a:ext uri="{FF2B5EF4-FFF2-40B4-BE49-F238E27FC236}">
              <a16:creationId xmlns:a16="http://schemas.microsoft.com/office/drawing/2014/main" id="{1ADD06F8-766E-44C1-B03F-555A8E2E3F5B}"/>
            </a:ext>
          </a:extLst>
        </xdr:cNvPr>
        <xdr:cNvSpPr>
          <a:spLocks noChangeAspect="1"/>
        </xdr:cNvSpPr>
      </xdr:nvSpPr>
      <xdr:spPr>
        <a:xfrm>
          <a:off x="1586340" y="2689091"/>
          <a:ext cx="720000" cy="17951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800"/>
            <a:t>set time 3</a:t>
          </a:r>
        </a:p>
      </xdr:txBody>
    </xdr:sp>
    <xdr:clientData/>
  </xdr:twoCellAnchor>
  <xdr:twoCellAnchor editAs="oneCell">
    <xdr:from>
      <xdr:col>0</xdr:col>
      <xdr:colOff>1585236</xdr:colOff>
      <xdr:row>13</xdr:row>
      <xdr:rowOff>51306</xdr:rowOff>
    </xdr:from>
    <xdr:to>
      <xdr:col>1</xdr:col>
      <xdr:colOff>721302</xdr:colOff>
      <xdr:row>14</xdr:row>
      <xdr:rowOff>26854</xdr:rowOff>
    </xdr:to>
    <xdr:sp macro="[0]!StartExamALL" textlink="">
      <xdr:nvSpPr>
        <xdr:cNvPr id="46" name="Rectangle 45">
          <a:extLst>
            <a:ext uri="{FF2B5EF4-FFF2-40B4-BE49-F238E27FC236}">
              <a16:creationId xmlns:a16="http://schemas.microsoft.com/office/drawing/2014/main" id="{6D6E52F7-70F4-4A5C-9BE6-A801EBE15B97}"/>
            </a:ext>
          </a:extLst>
        </xdr:cNvPr>
        <xdr:cNvSpPr>
          <a:spLocks noChangeAspect="1"/>
        </xdr:cNvSpPr>
      </xdr:nvSpPr>
      <xdr:spPr>
        <a:xfrm>
          <a:off x="1585236" y="2894374"/>
          <a:ext cx="720000" cy="17913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700"/>
            <a:t>set all time</a:t>
          </a:r>
        </a:p>
      </xdr:txBody>
    </xdr:sp>
    <xdr:clientData/>
  </xdr:twoCellAnchor>
  <xdr:twoCellAnchor editAs="oneCell">
    <xdr:from>
      <xdr:col>1</xdr:col>
      <xdr:colOff>774932</xdr:colOff>
      <xdr:row>11</xdr:row>
      <xdr:rowOff>43713</xdr:rowOff>
    </xdr:from>
    <xdr:to>
      <xdr:col>7</xdr:col>
      <xdr:colOff>259211</xdr:colOff>
      <xdr:row>12</xdr:row>
      <xdr:rowOff>25611</xdr:rowOff>
    </xdr:to>
    <xdr:sp macro="[0]!ShowAARA5" textlink="">
      <xdr:nvSpPr>
        <xdr:cNvPr id="47" name="Rectangle 46">
          <a:extLst>
            <a:ext uri="{FF2B5EF4-FFF2-40B4-BE49-F238E27FC236}">
              <a16:creationId xmlns:a16="http://schemas.microsoft.com/office/drawing/2014/main" id="{8B2D2A0E-B872-4DEF-8EFF-321172E8761F}"/>
            </a:ext>
          </a:extLst>
        </xdr:cNvPr>
        <xdr:cNvSpPr/>
      </xdr:nvSpPr>
      <xdr:spPr>
        <a:xfrm>
          <a:off x="2342273" y="2487959"/>
          <a:ext cx="717691" cy="17844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700"/>
            <a:t>AARA5</a:t>
          </a:r>
        </a:p>
      </xdr:txBody>
    </xdr:sp>
    <xdr:clientData/>
  </xdr:twoCellAnchor>
  <xdr:twoCellAnchor editAs="oneCell">
    <xdr:from>
      <xdr:col>1</xdr:col>
      <xdr:colOff>773417</xdr:colOff>
      <xdr:row>12</xdr:row>
      <xdr:rowOff>52694</xdr:rowOff>
    </xdr:from>
    <xdr:to>
      <xdr:col>7</xdr:col>
      <xdr:colOff>257696</xdr:colOff>
      <xdr:row>13</xdr:row>
      <xdr:rowOff>36748</xdr:rowOff>
    </xdr:to>
    <xdr:sp macro="[0]!ShowAARA10" textlink="">
      <xdr:nvSpPr>
        <xdr:cNvPr id="48" name="Rectangle 47">
          <a:extLst>
            <a:ext uri="{FF2B5EF4-FFF2-40B4-BE49-F238E27FC236}">
              <a16:creationId xmlns:a16="http://schemas.microsoft.com/office/drawing/2014/main" id="{EAD12221-D5E6-4337-A510-95D049B89C26}"/>
            </a:ext>
          </a:extLst>
        </xdr:cNvPr>
        <xdr:cNvSpPr/>
      </xdr:nvSpPr>
      <xdr:spPr>
        <a:xfrm>
          <a:off x="2340758" y="2693488"/>
          <a:ext cx="717691" cy="18060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700"/>
            <a:t>AARA10</a:t>
          </a:r>
        </a:p>
      </xdr:txBody>
    </xdr:sp>
    <xdr:clientData/>
  </xdr:twoCellAnchor>
  <xdr:twoCellAnchor editAs="oneCell">
    <xdr:from>
      <xdr:col>1</xdr:col>
      <xdr:colOff>773413</xdr:colOff>
      <xdr:row>13</xdr:row>
      <xdr:rowOff>62126</xdr:rowOff>
    </xdr:from>
    <xdr:to>
      <xdr:col>7</xdr:col>
      <xdr:colOff>257692</xdr:colOff>
      <xdr:row>14</xdr:row>
      <xdr:rowOff>49720</xdr:rowOff>
    </xdr:to>
    <xdr:sp macro="[0]!ShowAARA510" textlink="">
      <xdr:nvSpPr>
        <xdr:cNvPr id="49" name="Rectangle 48">
          <a:extLst>
            <a:ext uri="{FF2B5EF4-FFF2-40B4-BE49-F238E27FC236}">
              <a16:creationId xmlns:a16="http://schemas.microsoft.com/office/drawing/2014/main" id="{C94D6B70-6A47-4859-8DD0-6A0E8C8A8DD7}"/>
            </a:ext>
          </a:extLst>
        </xdr:cNvPr>
        <xdr:cNvSpPr/>
      </xdr:nvSpPr>
      <xdr:spPr>
        <a:xfrm>
          <a:off x="2340754" y="2899467"/>
          <a:ext cx="717691" cy="17779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600"/>
            <a:t>AARA5&amp;10</a:t>
          </a:r>
        </a:p>
      </xdr:txBody>
    </xdr:sp>
    <xdr:clientData/>
  </xdr:twoCellAnchor>
  <xdr:twoCellAnchor editAs="oneCell">
    <xdr:from>
      <xdr:col>0</xdr:col>
      <xdr:colOff>1588150</xdr:colOff>
      <xdr:row>14</xdr:row>
      <xdr:rowOff>58435</xdr:rowOff>
    </xdr:from>
    <xdr:to>
      <xdr:col>1</xdr:col>
      <xdr:colOff>722682</xdr:colOff>
      <xdr:row>15</xdr:row>
      <xdr:rowOff>40331</xdr:rowOff>
    </xdr:to>
    <xdr:sp macro="[0]!ResetALLTIMES" textlink="">
      <xdr:nvSpPr>
        <xdr:cNvPr id="50" name="Rectangle 49">
          <a:extLst>
            <a:ext uri="{FF2B5EF4-FFF2-40B4-BE49-F238E27FC236}">
              <a16:creationId xmlns:a16="http://schemas.microsoft.com/office/drawing/2014/main" id="{103602A8-26ED-4B4C-8B0D-F0D0CA133989}"/>
            </a:ext>
          </a:extLst>
        </xdr:cNvPr>
        <xdr:cNvSpPr>
          <a:spLocks noChangeAspect="1"/>
        </xdr:cNvSpPr>
      </xdr:nvSpPr>
      <xdr:spPr>
        <a:xfrm>
          <a:off x="1588150" y="3092324"/>
          <a:ext cx="720000" cy="1782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600"/>
            <a:t>Reset</a:t>
          </a:r>
          <a:r>
            <a:rPr lang="en-AU" sz="600" baseline="0"/>
            <a:t> times</a:t>
          </a:r>
          <a:endParaRPr lang="en-AU" sz="600"/>
        </a:p>
      </xdr:txBody>
    </xdr:sp>
    <xdr:clientData/>
  </xdr:twoCellAnchor>
  <xdr:twoCellAnchor editAs="oneCell">
    <xdr:from>
      <xdr:col>1</xdr:col>
      <xdr:colOff>771629</xdr:colOff>
      <xdr:row>10</xdr:row>
      <xdr:rowOff>33050</xdr:rowOff>
    </xdr:from>
    <xdr:to>
      <xdr:col>7</xdr:col>
      <xdr:colOff>249558</xdr:colOff>
      <xdr:row>11</xdr:row>
      <xdr:rowOff>16656</xdr:rowOff>
    </xdr:to>
    <xdr:sp macro="[0]!HideAARAs" textlink="">
      <xdr:nvSpPr>
        <xdr:cNvPr id="51" name="Rectangle 50">
          <a:extLst>
            <a:ext uri="{FF2B5EF4-FFF2-40B4-BE49-F238E27FC236}">
              <a16:creationId xmlns:a16="http://schemas.microsoft.com/office/drawing/2014/main" id="{343F843C-D055-4976-B604-A3A82A980CBE}"/>
            </a:ext>
          </a:extLst>
        </xdr:cNvPr>
        <xdr:cNvSpPr/>
      </xdr:nvSpPr>
      <xdr:spPr>
        <a:xfrm>
          <a:off x="2338970" y="2280748"/>
          <a:ext cx="717691" cy="18015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700"/>
            <a:t>NO AARA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31750</xdr:rowOff>
        </xdr:from>
        <xdr:to>
          <xdr:col>0</xdr:col>
          <xdr:colOff>717550</xdr:colOff>
          <xdr:row>11</xdr:row>
          <xdr:rowOff>190500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ACTIVATE CLOCK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5318</xdr:colOff>
      <xdr:row>12</xdr:row>
      <xdr:rowOff>38906</xdr:rowOff>
    </xdr:from>
    <xdr:to>
      <xdr:col>0</xdr:col>
      <xdr:colOff>725318</xdr:colOff>
      <xdr:row>14</xdr:row>
      <xdr:rowOff>183285</xdr:rowOff>
    </xdr:to>
    <xdr:sp macro="[0]!RESETEXTERNALS" textlink="">
      <xdr:nvSpPr>
        <xdr:cNvPr id="54" name="Rectangle 53">
          <a:extLst>
            <a:ext uri="{FF2B5EF4-FFF2-40B4-BE49-F238E27FC236}">
              <a16:creationId xmlns:a16="http://schemas.microsoft.com/office/drawing/2014/main" id="{8CBCEDA9-9ED3-923A-E642-F76439E99A46}"/>
            </a:ext>
          </a:extLst>
        </xdr:cNvPr>
        <xdr:cNvSpPr/>
      </xdr:nvSpPr>
      <xdr:spPr>
        <a:xfrm>
          <a:off x="5318" y="2701245"/>
          <a:ext cx="720000" cy="540526"/>
        </a:xfrm>
        <a:prstGeom prst="rect">
          <a:avLst/>
        </a:prstGeom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MISTAKE</a:t>
          </a:r>
          <a:r>
            <a:rPr lang="en-AU" sz="1100" baseline="0"/>
            <a:t> BUTTON</a:t>
          </a:r>
          <a:endParaRPr lang="en-A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116974</xdr:colOff>
      <xdr:row>1</xdr:row>
      <xdr:rowOff>133684</xdr:rowOff>
    </xdr:from>
    <xdr:to>
      <xdr:col>0</xdr:col>
      <xdr:colOff>836974</xdr:colOff>
      <xdr:row>4</xdr:row>
      <xdr:rowOff>72058</xdr:rowOff>
    </xdr:to>
    <xdr:sp macro="[0]!RESETEXTERNALS" textlink="">
      <xdr:nvSpPr>
        <xdr:cNvPr id="2" name="Rectangle 1">
          <a:extLst>
            <a:ext uri="{FF2B5EF4-FFF2-40B4-BE49-F238E27FC236}">
              <a16:creationId xmlns:a16="http://schemas.microsoft.com/office/drawing/2014/main" id="{F3E9CEE1-09B3-490B-A060-CFE4912673E7}"/>
            </a:ext>
          </a:extLst>
        </xdr:cNvPr>
        <xdr:cNvSpPr/>
      </xdr:nvSpPr>
      <xdr:spPr>
        <a:xfrm>
          <a:off x="116974" y="334210"/>
          <a:ext cx="720000" cy="539953"/>
        </a:xfrm>
        <a:prstGeom prst="rect">
          <a:avLst/>
        </a:prstGeom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MISTAKE</a:t>
          </a:r>
          <a:r>
            <a:rPr lang="en-AU" sz="1100" baseline="0"/>
            <a:t> BUTTON</a:t>
          </a:r>
          <a:endParaRPr lang="en-AU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15CB0F-C051-4F3A-B25F-2610C319C973}" name="Table2" displayName="Table2" ref="A1:C12" totalsRowShown="0" headerRowBorderDxfId="1" tableBorderDxfId="0">
  <autoFilter ref="A1:C12" xr:uid="{4715CB0F-C051-4F3A-B25F-2610C319C973}"/>
  <sortState xmlns:xlrd2="http://schemas.microsoft.com/office/spreadsheetml/2017/richdata2" ref="A2:C10">
    <sortCondition descending="1" ref="A1:A10"/>
  </sortState>
  <tableColumns count="3">
    <tableColumn id="3" xr3:uid="{67D09BAA-72A9-47C7-A1EB-8E9C9914AC35}" name="Year/Subject/Unit/Paper"/>
    <tableColumn id="4" xr3:uid="{38177DA6-4A5F-448E-97C0-1CD1E52CD9DC}" name="Perusal/Planning time (HH:MM:SS)"/>
    <tableColumn id="5" xr3:uid="{F3CD8504-8CF6-4B07-99CA-D2234CF21636}" name="Working duration (HH:MM:SS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8C7C-55C4-49E9-8DFF-A5F762F14D48}">
  <sheetPr codeName="Sheet4"/>
  <dimension ref="A1:G10"/>
  <sheetViews>
    <sheetView zoomScale="98" zoomScaleNormal="125" workbookViewId="0">
      <selection activeCell="J15" sqref="J15"/>
    </sheetView>
  </sheetViews>
  <sheetFormatPr defaultRowHeight="15.5" x14ac:dyDescent="0.35"/>
  <cols>
    <col min="1" max="1" width="21" bestFit="1" customWidth="1"/>
    <col min="2" max="2" width="11.6640625" bestFit="1" customWidth="1"/>
    <col min="3" max="3" width="4.75" bestFit="1" customWidth="1"/>
    <col min="4" max="4" width="11.6640625" customWidth="1"/>
    <col min="5" max="5" width="4.75" customWidth="1"/>
    <col min="6" max="6" width="11.6640625" customWidth="1"/>
    <col min="7" max="7" width="4.75" customWidth="1"/>
    <col min="8" max="8" width="13.33203125" customWidth="1"/>
    <col min="9" max="9" width="10.08203125" customWidth="1"/>
  </cols>
  <sheetData>
    <row r="1" spans="1:7" ht="36.65" customHeight="1" thickBot="1" x14ac:dyDescent="0.4">
      <c r="A1" s="34">
        <f ca="1">yr12donttouch!$C$1</f>
        <v>0.49795138889021473</v>
      </c>
      <c r="B1" s="35" t="s">
        <v>95</v>
      </c>
      <c r="C1" s="36"/>
      <c r="D1" s="35" t="s">
        <v>96</v>
      </c>
      <c r="E1" s="36"/>
      <c r="F1" s="35" t="s">
        <v>97</v>
      </c>
      <c r="G1" s="36"/>
    </row>
    <row r="2" spans="1:7" x14ac:dyDescent="0.35">
      <c r="A2" s="32" t="str">
        <f>yr12donttouch!$F$14</f>
        <v xml:space="preserve">DROPDOWN </v>
      </c>
      <c r="B2" s="9">
        <v>0.37847222222222221</v>
      </c>
      <c r="C2" s="2"/>
      <c r="D2" s="9">
        <v>0.37847222222222221</v>
      </c>
      <c r="E2" s="2"/>
      <c r="F2" s="9">
        <v>0.37847222222222221</v>
      </c>
      <c r="G2" s="2"/>
    </row>
    <row r="3" spans="1:7" x14ac:dyDescent="0.35">
      <c r="A3" s="14" t="str">
        <f>_xlfn.XLOOKUP(A2,yr12donttouch!F11:F14,yr12donttouch!G11:G14,,0,1)</f>
        <v>click dropdown ^</v>
      </c>
      <c r="B3" s="10">
        <f>_xlfn.XLOOKUP(B1,examdatabase!A:A,examdatabase!B:B,,0,1)</f>
        <v>0</v>
      </c>
      <c r="C3" s="3" t="str">
        <f>IF(AND(B3&gt;yr12donttouch!$F$15,B3&lt;yr12donttouch!$F$16),yr12donttouch!F18,yr12donttouch!F19)</f>
        <v>hrs</v>
      </c>
      <c r="D3" s="10">
        <f>_xlfn.XLOOKUP(D1,examdatabase!A:A,examdatabase!B:B,,0,1)</f>
        <v>0</v>
      </c>
      <c r="E3" s="3" t="str">
        <f>IF(AND(D3&gt;yr12donttouch!$F$15,D3&lt;yr12donttouch!$F$16),yr12donttouch!F18,yr12donttouch!F19)</f>
        <v>hrs</v>
      </c>
      <c r="F3" s="10">
        <f>_xlfn.XLOOKUP(F1,examdatabase!A:A,examdatabase!B:B,,0,1)</f>
        <v>0</v>
      </c>
      <c r="G3" s="3" t="str">
        <f>IF(AND(F3&gt;yr12donttouch!$F$15,F3&lt;yr12donttouch!$F$16),yr12donttouch!F18,yr12donttouch!F19)</f>
        <v>hrs</v>
      </c>
    </row>
    <row r="4" spans="1:7" x14ac:dyDescent="0.35">
      <c r="A4" s="15" t="s">
        <v>1</v>
      </c>
      <c r="B4" s="11">
        <f>SUM(B2:B3)</f>
        <v>0.37847222222222221</v>
      </c>
      <c r="C4" s="4"/>
      <c r="D4" s="11">
        <f>SUM(D2:D3)</f>
        <v>0.37847222222222221</v>
      </c>
      <c r="E4" s="4"/>
      <c r="F4" s="11">
        <f>SUM(F2:F3)</f>
        <v>0.37847222222222221</v>
      </c>
      <c r="G4" s="4"/>
    </row>
    <row r="5" spans="1:7" x14ac:dyDescent="0.35">
      <c r="A5" s="14" t="s">
        <v>2</v>
      </c>
      <c r="B5" s="10">
        <f>_xlfn.XLOOKUP(B1,examdatabase!A:A,examdatabase!C:C,,0,1)</f>
        <v>0</v>
      </c>
      <c r="C5" s="3" t="str">
        <f>IF(AND(B5&gt;yr12donttouch!$F$15,B5&lt;yr12donttouch!$F$16),yr12donttouch!F18,yr12donttouch!F19)</f>
        <v>hrs</v>
      </c>
      <c r="D5" s="10">
        <f>_xlfn.XLOOKUP(D1,examdatabase!A:A,examdatabase!C:C,,0,1)</f>
        <v>0</v>
      </c>
      <c r="E5" s="3" t="str">
        <f>IF(AND(D5&gt;yr12donttouch!$F$15,D5&lt;yr12donttouch!$F$16),yr12donttouch!F18,yr12donttouch!F19)</f>
        <v>hrs</v>
      </c>
      <c r="F5" s="10">
        <f>_xlfn.XLOOKUP(F1,examdatabase!A:A,examdatabase!C:C,,0,1)</f>
        <v>0</v>
      </c>
      <c r="G5" s="3" t="str">
        <f>IF(AND(F5&gt;yr12donttouch!$F$15,F5&lt;yr12donttouch!$F$16),yr12donttouch!F18,yr12donttouch!F19)</f>
        <v>hrs</v>
      </c>
    </row>
    <row r="6" spans="1:7" x14ac:dyDescent="0.35">
      <c r="A6" s="16" t="s">
        <v>98</v>
      </c>
      <c r="B6" s="12">
        <f>B7-yr12donttouch!$F$1</f>
        <v>0.37152777777777779</v>
      </c>
      <c r="C6" s="6"/>
      <c r="D6" s="12">
        <f>D7-yr12donttouch!$F$1</f>
        <v>0.37152777777777779</v>
      </c>
      <c r="E6" s="6"/>
      <c r="F6" s="12">
        <f>F7-yr12donttouch!$F$1</f>
        <v>0.37152777777777779</v>
      </c>
      <c r="G6" s="6"/>
    </row>
    <row r="7" spans="1:7" ht="16" thickBot="1" x14ac:dyDescent="0.4">
      <c r="A7" s="17" t="s">
        <v>3</v>
      </c>
      <c r="B7" s="13">
        <f>B4+B5</f>
        <v>0.37847222222222221</v>
      </c>
      <c r="C7" s="5"/>
      <c r="D7" s="13">
        <f>D4+D5</f>
        <v>0.37847222222222221</v>
      </c>
      <c r="E7" s="5"/>
      <c r="F7" s="13">
        <f>F4+F5</f>
        <v>0.37847222222222221</v>
      </c>
      <c r="G7" s="5"/>
    </row>
    <row r="8" spans="1:7" ht="16" thickBot="1" x14ac:dyDescent="0.4">
      <c r="A8" s="37" t="s">
        <v>4</v>
      </c>
      <c r="B8" s="38"/>
      <c r="C8" s="38"/>
      <c r="D8" s="38"/>
      <c r="E8" s="38"/>
      <c r="F8" s="38"/>
      <c r="G8" s="39"/>
    </row>
    <row r="9" spans="1:7" x14ac:dyDescent="0.35">
      <c r="A9" s="20" t="s">
        <v>5</v>
      </c>
      <c r="B9" s="21">
        <f>$B$7+TIME(0,(($B$5*1440)/30)*5,)</f>
        <v>0.37847222222222221</v>
      </c>
      <c r="C9" s="23"/>
      <c r="D9" s="22">
        <f>$D$7+TIME(0,(($D$5*1440)/30)*5,)</f>
        <v>0.37847222222222221</v>
      </c>
      <c r="E9" s="23"/>
      <c r="F9" s="22">
        <f>$F$7+TIME(0,(($F$5*1440)/30)*5,)</f>
        <v>0.37847222222222221</v>
      </c>
      <c r="G9" s="23"/>
    </row>
    <row r="10" spans="1:7" ht="16" thickBot="1" x14ac:dyDescent="0.4">
      <c r="A10" s="25" t="s">
        <v>6</v>
      </c>
      <c r="B10" s="26">
        <f>$B$7+TIME(0,(($B$5*1440)/30)*10,)</f>
        <v>0.37847222222222221</v>
      </c>
      <c r="C10" s="27"/>
      <c r="D10" s="28">
        <f>$D$7+TIME(0,(($D$5*1440)/30)*10,)</f>
        <v>0.37847222222222221</v>
      </c>
      <c r="E10" s="27"/>
      <c r="F10" s="28">
        <f>$F$7+TIME(0,(($F$5*1440)/30)*10,)</f>
        <v>0.37847222222222221</v>
      </c>
      <c r="G10" s="27"/>
    </row>
  </sheetData>
  <dataConsolidate/>
  <mergeCells count="4">
    <mergeCell ref="B1:C1"/>
    <mergeCell ref="D1:E1"/>
    <mergeCell ref="F1:G1"/>
    <mergeCell ref="A8:G8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ACTIVATECLOCK">
                <anchor moveWithCells="1">
                  <from>
                    <xdr:col>0</xdr:col>
                    <xdr:colOff>6350</xdr:colOff>
                    <xdr:row>10</xdr:row>
                    <xdr:rowOff>57150</xdr:rowOff>
                  </from>
                  <to>
                    <xdr:col>0</xdr:col>
                    <xdr:colOff>723900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6A1432DB-F1BE-422F-994E-D36BF3BB29AF}">
            <xm:f>yr12donttouch!$O$8&lt;yr12donttouch!$O$2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10" id="{276D51B7-2BAA-402B-A3F7-943730BC5E49}">
            <xm:f>yr12donttouch!$O$8&gt;yr12donttouch!$O$9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11" id="{108E43FC-2BB8-44EE-AAA4-5FDD748D5D1E}">
            <xm:f>yr12donttouch!$O$8&gt;yr12donttouch!$O$7</xm:f>
            <x14:dxf>
              <fill>
                <patternFill>
                  <bgColor rgb="FF00B0F0"/>
                </patternFill>
              </fill>
            </x14:dxf>
          </x14:cfRule>
          <x14:cfRule type="expression" priority="12" id="{C865C1CF-3F1B-47C4-8465-AD650DFA3054}">
            <xm:f>yr12donttouch!$O$8&gt;yr12donttouch!$O$6</xm:f>
            <x14:dxf>
              <fill>
                <patternFill>
                  <bgColor rgb="FFFFFF00"/>
                </patternFill>
              </fill>
            </x14:dxf>
          </x14:cfRule>
          <x14:cfRule type="expression" priority="13" id="{9E1B5A56-7AAE-4D4A-9029-6FFAE5A11AED}">
            <xm:f>yr12donttouch!$O$8&gt;yr12donttouch!$O$5</xm:f>
            <x14:dxf>
              <fill>
                <patternFill>
                  <bgColor rgb="FFFF7C80"/>
                </patternFill>
              </fill>
            </x14:dxf>
          </x14:cfRule>
          <x14:cfRule type="expression" priority="14" id="{18E46021-8045-4440-B7EF-A275A02ABBD5}">
            <xm:f>yr12donttouch!$O$8&gt;yr12donttouch!$O$4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5" id="{03905C7D-B657-4630-92DD-4655AAF9D5E4}">
            <xm:f>yr12donttouch!$O$8&gt;yr12donttouch!$O$3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16" id="{FC60F017-0979-4C9B-8F78-A58989AD031C}">
            <xm:f>yr12donttouch!$O$8&gt;yr12donttouch!$O$2</xm:f>
            <x14:dxf>
              <fill>
                <patternFill>
                  <bgColor theme="9" tint="0.59996337778862885"/>
                </patternFill>
              </fill>
            </x14:dxf>
          </x14:cfRule>
          <xm:sqref>F1</xm:sqref>
        </x14:conditionalFormatting>
        <x14:conditionalFormatting xmlns:xm="http://schemas.microsoft.com/office/excel/2006/main">
          <x14:cfRule type="expression" priority="17" id="{3F89D454-1041-4F35-8C9F-540510F125EA}">
            <xm:f>yr12donttouch!$M$8&lt;yr12donttouch!$M$2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18" id="{E7CAED1B-2D78-4E79-A97E-159223081053}">
            <xm:f>yr12donttouch!$M$8&gt;yr12donttouch!$M$9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19" id="{D819F8DE-0297-4266-9BA3-60E272AF57BE}">
            <xm:f>yr12donttouch!$M$8&gt;yr12donttouch!$M$7</xm:f>
            <x14:dxf>
              <fill>
                <patternFill>
                  <bgColor rgb="FF00B0F0"/>
                </patternFill>
              </fill>
            </x14:dxf>
          </x14:cfRule>
          <x14:cfRule type="expression" priority="20" id="{618A61EF-D416-4770-8D50-5D337E6876E8}">
            <xm:f>yr12donttouch!$M$8&gt;yr12donttouch!$M$6</xm:f>
            <x14:dxf>
              <fill>
                <patternFill>
                  <bgColor rgb="FFFFFF00"/>
                </patternFill>
              </fill>
            </x14:dxf>
          </x14:cfRule>
          <x14:cfRule type="expression" priority="21" id="{369034E2-3ACA-4321-AB76-CDFC50A26A73}">
            <xm:f>yr12donttouch!$M$8&gt;yr12donttouch!$M$5</xm:f>
            <x14:dxf>
              <fill>
                <patternFill>
                  <bgColor rgb="FFFF7C80"/>
                </patternFill>
              </fill>
            </x14:dxf>
          </x14:cfRule>
          <x14:cfRule type="expression" priority="22" id="{E776D003-F802-4D9F-A66B-FDD9F16D477B}">
            <xm:f>yr12donttouch!$M$8&gt;yr12donttouch!$M$4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3" id="{9875A835-0107-4A5B-B7C6-BAE61A2508DF}">
            <xm:f>yr12donttouch!$M$8&gt;yr12donttouch!$M$3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24" id="{0F35F906-6C76-48A1-9348-C79DB4F97B19}">
            <xm:f>yr12donttouch!$M$8&gt;yr12donttouch!$M$2</xm:f>
            <x14:dxf>
              <fill>
                <patternFill>
                  <bgColor theme="9" tint="0.59996337778862885"/>
                </patternFill>
              </fill>
            </x14:dxf>
          </x14:cfRule>
          <xm:sqref>B1</xm:sqref>
        </x14:conditionalFormatting>
        <x14:conditionalFormatting xmlns:xm="http://schemas.microsoft.com/office/excel/2006/main">
          <x14:cfRule type="expression" priority="1" id="{DBEE54D8-0CAA-4112-86BE-92453B45EF2E}">
            <xm:f>yr12donttouch!$N$8&lt;yr12donttouch!$N$2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2" id="{E62363A9-ED77-48AB-944F-9A2CB1FDA88E}">
            <xm:f>yr12donttouch!$N$8&gt;yr12donttouch!$N$9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3" id="{A58960CF-BB53-4462-81D4-AB4E13B11384}">
            <xm:f>yr12donttouch!$N$8&gt;yr12donttouch!$N$7</xm:f>
            <x14:dxf>
              <fill>
                <patternFill>
                  <bgColor rgb="FF00B0F0"/>
                </patternFill>
              </fill>
            </x14:dxf>
          </x14:cfRule>
          <x14:cfRule type="expression" priority="4" id="{EC78BD8F-AC29-482F-95A1-2250F9A06034}">
            <xm:f>yr12donttouch!$N$8&gt;yr12donttouch!$N$6</xm:f>
            <x14:dxf>
              <fill>
                <patternFill>
                  <bgColor rgb="FFFFFF00"/>
                </patternFill>
              </fill>
            </x14:dxf>
          </x14:cfRule>
          <x14:cfRule type="expression" priority="5" id="{89D0B753-61C6-4F63-AE59-3D1D6BFC838E}">
            <xm:f>yr12donttouch!$N$8&gt;yr12donttouch!$N$5</xm:f>
            <x14:dxf>
              <fill>
                <patternFill>
                  <bgColor rgb="FFFF7C80"/>
                </patternFill>
              </fill>
            </x14:dxf>
          </x14:cfRule>
          <x14:cfRule type="expression" priority="6" id="{249CBDAE-CAB7-4022-9C1F-BBE0CD3F0E19}">
            <xm:f>yr12donttouch!$N$8&gt;yr12donttouch!$N$4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7" id="{65BDDD34-E5C8-4ED2-B0D8-6B23F6829925}">
            <xm:f>yr12donttouch!$N$8&gt;yr12donttouch!$N$3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8" id="{B8891793-3C64-4DAE-B8E8-6CCB112D268E}">
            <xm:f>yr12donttouch!$N$8&gt;yr12donttouch!$N$2</xm:f>
            <x14:dxf>
              <fill>
                <patternFill>
                  <bgColor theme="9" tint="0.59996337778862885"/>
                </patternFill>
              </fill>
            </x14:dxf>
          </x14:cfRule>
          <xm:sqref>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xr:uid="{3327640A-8951-4D1D-A6F1-9EA21F70F5A9}">
          <x14:formula1>
            <xm:f>yr12donttouch!$U$2:$U$7</xm:f>
          </x14:formula1>
          <xm:sqref>F2 B2 D2</xm:sqref>
        </x14:dataValidation>
        <x14:dataValidation type="list" allowBlank="1" showInputMessage="1" showErrorMessage="1" xr:uid="{E6111232-C846-4EEB-B946-75562C9893A7}">
          <x14:formula1>
            <xm:f>yr12donttouch!$F$11:$F$13</xm:f>
          </x14:formula1>
          <xm:sqref>A2</xm:sqref>
        </x14:dataValidation>
        <x14:dataValidation type="list" allowBlank="1" showInputMessage="1" xr:uid="{CEB9F3E0-21D2-4E99-8578-BCB9F5B7EB3E}">
          <x14:formula1>
            <xm:f>examdatabase!$A$2:$A$65</xm:f>
          </x14:formula1>
          <xm:sqref>B1:G1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967C7-D2AD-4267-8EAD-3C484B92EABA}">
  <sheetPr codeName="Sheet2"/>
  <dimension ref="A1:G10"/>
  <sheetViews>
    <sheetView tabSelected="1" zoomScale="138" zoomScaleNormal="400" workbookViewId="0">
      <selection activeCell="H7" sqref="H7"/>
    </sheetView>
  </sheetViews>
  <sheetFormatPr defaultRowHeight="15.5" x14ac:dyDescent="0.35"/>
  <cols>
    <col min="1" max="1" width="20.58203125" bestFit="1" customWidth="1"/>
    <col min="2" max="2" width="11.58203125" bestFit="1" customWidth="1"/>
    <col min="3" max="3" width="4.6640625" bestFit="1" customWidth="1"/>
    <col min="4" max="4" width="11.6640625" hidden="1" customWidth="1"/>
    <col min="5" max="5" width="4.6640625" hidden="1" customWidth="1"/>
    <col min="6" max="6" width="11.6640625" hidden="1" customWidth="1"/>
    <col min="7" max="7" width="4.6640625" hidden="1" customWidth="1"/>
    <col min="8" max="8" width="11.25" bestFit="1" customWidth="1"/>
    <col min="9" max="9" width="9.08203125" customWidth="1"/>
  </cols>
  <sheetData>
    <row r="1" spans="1:7" ht="36.65" customHeight="1" thickBot="1" x14ac:dyDescent="0.4">
      <c r="A1" s="34">
        <f ca="1">yr12donttouch!$C$1</f>
        <v>0.49795138889021473</v>
      </c>
      <c r="B1" s="35" t="s">
        <v>87</v>
      </c>
      <c r="C1" s="36"/>
      <c r="D1" s="35" t="s">
        <v>96</v>
      </c>
      <c r="E1" s="36"/>
      <c r="F1" s="35" t="s">
        <v>97</v>
      </c>
      <c r="G1" s="36"/>
    </row>
    <row r="2" spans="1:7" x14ac:dyDescent="0.35">
      <c r="A2" s="32" t="s">
        <v>0</v>
      </c>
      <c r="B2" s="9">
        <v>0.36256944444176042</v>
      </c>
      <c r="C2" s="2"/>
      <c r="D2" s="9">
        <v>0.36458333333333331</v>
      </c>
      <c r="E2" s="2"/>
      <c r="F2" s="9">
        <v>0.36458333333333331</v>
      </c>
      <c r="G2" s="2"/>
    </row>
    <row r="3" spans="1:7" x14ac:dyDescent="0.35">
      <c r="A3" s="14" t="str">
        <f>_xlfn.XLOOKUP(A2,yr12donttouch!F11:F14,yr12donttouch!G11:G14,,0,1)</f>
        <v>Perusal Time Duration:</v>
      </c>
      <c r="B3" s="10">
        <f>_xlfn.XLOOKUP(B1,yr12donttouch!$B$8:$B$70,yr12donttouch!$C$8:$C$70,,0,1)</f>
        <v>3.472222222222222E-3</v>
      </c>
      <c r="C3" s="3" t="str">
        <f>IF(AND(B3&gt;yr12donttouch!$F$15,B3&lt;yr12donttouch!$F$16),yr12donttouch!F18,yr12donttouch!F19)</f>
        <v>mins</v>
      </c>
      <c r="D3" s="10">
        <f>_xlfn.XLOOKUP(D1,yr12donttouch!$B$8:$B$70,yr12donttouch!$C$8:$C$70,,0,1)</f>
        <v>0</v>
      </c>
      <c r="E3" s="3" t="str">
        <f>IF(AND(D3&gt;yr12donttouch!$F$15,D3&lt;yr12donttouch!$F$16),yr12donttouch!F18,yr12donttouch!F19)</f>
        <v>hrs</v>
      </c>
      <c r="F3" s="10">
        <f>_xlfn.XLOOKUP(F1,yr12donttouch!$B$8:$B$70,yr12donttouch!$C$8:$C$70,,0,1)</f>
        <v>0</v>
      </c>
      <c r="G3" s="3" t="str">
        <f>IF(AND(F3&gt;yr12donttouch!$F$15,F3&lt;yr12donttouch!$F$16),yr12donttouch!F18,yr12donttouch!F19)</f>
        <v>hrs</v>
      </c>
    </row>
    <row r="4" spans="1:7" x14ac:dyDescent="0.35">
      <c r="A4" s="15" t="s">
        <v>1</v>
      </c>
      <c r="B4" s="11">
        <f>SUM(B2:B3)</f>
        <v>0.36604166666398263</v>
      </c>
      <c r="C4" s="4"/>
      <c r="D4" s="11">
        <f>SUM(D2:D3)</f>
        <v>0.36458333333333331</v>
      </c>
      <c r="E4" s="4"/>
      <c r="F4" s="11">
        <f>SUM(F2:F3)</f>
        <v>0.36458333333333331</v>
      </c>
      <c r="G4" s="4"/>
    </row>
    <row r="5" spans="1:7" x14ac:dyDescent="0.35">
      <c r="A5" s="14" t="s">
        <v>2</v>
      </c>
      <c r="B5" s="10">
        <f>_xlfn.XLOOKUP(B1,yr12donttouch!$B$8:$B$64,yr12donttouch!$D$8:$D$64,,0,1)</f>
        <v>6.25E-2</v>
      </c>
      <c r="C5" s="3" t="str">
        <f>IF(AND(B5&gt;yr12donttouch!$F$15,B5&lt;yr12donttouch!$F$16),yr12donttouch!F18,yr12donttouch!F19)</f>
        <v>hrs</v>
      </c>
      <c r="D5" s="10">
        <f>_xlfn.XLOOKUP(D1,yr12donttouch!$B$8:$B$70,yr12donttouch!$D$8:$D$70,,0,1)</f>
        <v>0</v>
      </c>
      <c r="E5" s="3" t="str">
        <f>IF(AND(D5&gt;yr12donttouch!$F$15,D5&lt;yr12donttouch!$F$16),yr12donttouch!F18,yr12donttouch!F19)</f>
        <v>hrs</v>
      </c>
      <c r="F5" s="10">
        <f>_xlfn.XLOOKUP(F1,yr12donttouch!$B$8:$B$70,yr12donttouch!$D$8:$D$70,,0,1)</f>
        <v>0</v>
      </c>
      <c r="G5" s="3" t="str">
        <f>IF(AND(F5&gt;yr12donttouch!$F$15,F5&lt;yr12donttouch!$F$16),yr12donttouch!F18,yr12donttouch!F19)</f>
        <v>hrs</v>
      </c>
    </row>
    <row r="6" spans="1:7" x14ac:dyDescent="0.35">
      <c r="A6" s="16" t="s">
        <v>98</v>
      </c>
      <c r="B6" s="12">
        <f>B7-yr12donttouch!$F$1</f>
        <v>0.42159722221953821</v>
      </c>
      <c r="C6" s="6"/>
      <c r="D6" s="12">
        <f>D7-yr12donttouch!$F$1</f>
        <v>0.3576388888888889</v>
      </c>
      <c r="E6" s="6"/>
      <c r="F6" s="12">
        <f>F7-yr12donttouch!$F$1</f>
        <v>0.3576388888888889</v>
      </c>
      <c r="G6" s="6"/>
    </row>
    <row r="7" spans="1:7" ht="16" thickBot="1" x14ac:dyDescent="0.4">
      <c r="A7" s="17" t="s">
        <v>3</v>
      </c>
      <c r="B7" s="13">
        <f>B4+B5</f>
        <v>0.42854166666398263</v>
      </c>
      <c r="C7" s="5"/>
      <c r="D7" s="13">
        <f>D4+D5</f>
        <v>0.36458333333333331</v>
      </c>
      <c r="E7" s="5"/>
      <c r="F7" s="13">
        <f>F4+F5</f>
        <v>0.36458333333333331</v>
      </c>
      <c r="G7" s="5"/>
    </row>
    <row r="8" spans="1:7" ht="16" thickBot="1" x14ac:dyDescent="0.4">
      <c r="A8" s="37" t="s">
        <v>4</v>
      </c>
      <c r="B8" s="38"/>
      <c r="C8" s="38"/>
      <c r="D8" s="38"/>
      <c r="E8" s="38"/>
      <c r="F8" s="38"/>
      <c r="G8" s="39"/>
    </row>
    <row r="9" spans="1:7" x14ac:dyDescent="0.35">
      <c r="A9" s="20" t="s">
        <v>5</v>
      </c>
      <c r="B9" s="21">
        <f>$B$7+TIME(0,(($B$5*1440)/30)*5,)</f>
        <v>0.43895833333064932</v>
      </c>
      <c r="C9" s="23"/>
      <c r="D9" s="22">
        <f>$D$7+TIME(0,(($D$5*1440)/30)*5,)</f>
        <v>0.36458333333333331</v>
      </c>
      <c r="E9" s="23"/>
      <c r="F9" s="22">
        <f>$F$7+TIME(0,(($F$5*1440)/30)*5,)</f>
        <v>0.36458333333333331</v>
      </c>
      <c r="G9" s="23"/>
    </row>
    <row r="10" spans="1:7" ht="16" hidden="1" thickBot="1" x14ac:dyDescent="0.4">
      <c r="A10" s="25" t="s">
        <v>6</v>
      </c>
      <c r="B10" s="26">
        <f>$B$7+TIME(0,(($B$5*1440)/30)*10,)</f>
        <v>0.44937499999731595</v>
      </c>
      <c r="C10" s="27"/>
      <c r="D10" s="28">
        <f>$D$7+TIME(0,(($D$5*1440)/30)*10,)</f>
        <v>0.36458333333333331</v>
      </c>
      <c r="E10" s="27"/>
      <c r="F10" s="28">
        <f>$F$7+TIME(0,(($F$5*1440)/30)*10,)</f>
        <v>0.36458333333333331</v>
      </c>
      <c r="G10" s="27"/>
    </row>
  </sheetData>
  <mergeCells count="4">
    <mergeCell ref="F1:G1"/>
    <mergeCell ref="A8:G8"/>
    <mergeCell ref="D1:E1"/>
    <mergeCell ref="B1:C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3" name="Button 14">
              <controlPr defaultSize="0" print="0" autoFill="0" autoPict="0" macro="[0]!ACTIVATECLOCK">
                <anchor moveWithCells="1">
                  <from>
                    <xdr:col>0</xdr:col>
                    <xdr:colOff>0</xdr:colOff>
                    <xdr:row>10</xdr:row>
                    <xdr:rowOff>31750</xdr:rowOff>
                  </from>
                  <to>
                    <xdr:col>0</xdr:col>
                    <xdr:colOff>717550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2004BE5-F35C-4148-9401-08BD9967C7D7}">
            <xm:f>yr12donttouch!$I$8&lt;yr12donttouch!$I$2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10" id="{1F0C9FFE-DE2D-4243-A044-FD64CD1E4E74}">
            <xm:f>yr12donttouch!$I$8&gt;yr12donttouch!$I$9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11" id="{85612F72-5820-4921-8CA1-B1BF0F7CDABA}">
            <xm:f>yr12donttouch!$I$8&gt;yr12donttouch!$I$7</xm:f>
            <x14:dxf>
              <fill>
                <patternFill>
                  <bgColor rgb="FF00B0F0"/>
                </patternFill>
              </fill>
            </x14:dxf>
          </x14:cfRule>
          <x14:cfRule type="expression" priority="12" id="{F33E7450-C0A5-46AD-BB7F-BB2813E70A07}">
            <xm:f>yr12donttouch!$I$8&gt;yr12donttouch!$I$6</xm:f>
            <x14:dxf>
              <fill>
                <patternFill>
                  <bgColor rgb="FFFFFF00"/>
                </patternFill>
              </fill>
            </x14:dxf>
          </x14:cfRule>
          <x14:cfRule type="expression" priority="13" id="{186297B7-8193-42A8-9CF6-A90EB2D9ADE6}">
            <xm:f>yr12donttouch!$I$8&gt;yr12donttouch!$I$5</xm:f>
            <x14:dxf>
              <fill>
                <patternFill>
                  <bgColor rgb="FFFF7C80"/>
                </patternFill>
              </fill>
            </x14:dxf>
          </x14:cfRule>
          <x14:cfRule type="expression" priority="14" id="{0F07C525-EEC8-4C90-AC9E-BC9C775D9684}">
            <xm:f>yr12donttouch!$I$8&gt;yr12donttouch!$I$4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5" id="{A950609E-DB36-46EB-B103-71818C07FB32}">
            <xm:f>yr12donttouch!$I$8&gt;yr12donttouch!$I$3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16" id="{47709518-3E28-4AAE-8B0F-E62BECAEDF79}">
            <xm:f>yr12donttouch!$I$8&gt;yr12donttouch!$I$2</xm:f>
            <x14:dxf>
              <fill>
                <patternFill>
                  <bgColor theme="9" tint="0.59996337778862885"/>
                </patternFill>
              </fill>
            </x14:dxf>
          </x14:cfRule>
          <xm:sqref>F1</xm:sqref>
        </x14:conditionalFormatting>
        <x14:conditionalFormatting xmlns:xm="http://schemas.microsoft.com/office/excel/2006/main">
          <x14:cfRule type="expression" priority="25" id="{33128818-743D-4339-9583-1C59815C9BB1}">
            <xm:f>yr12donttouch!$G$8&lt;yr12donttouch!$G$2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33" id="{B168D273-092E-4E6C-85E5-571FA804F923}">
            <xm:f>yr12donttouch!$G$8&gt;yr12donttouch!$G$9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40" id="{F95913BB-1ADC-4AC4-ABDF-6C68283F4D4A}">
            <xm:f>yr12donttouch!$G$8&gt;yr12donttouch!$G$7</xm:f>
            <x14:dxf>
              <fill>
                <patternFill>
                  <bgColor rgb="FF00B0F0"/>
                </patternFill>
              </fill>
            </x14:dxf>
          </x14:cfRule>
          <x14:cfRule type="expression" priority="41" id="{9AD20CF6-2DBA-4A8A-9AA3-D9D47EAC4E16}">
            <xm:f>yr12donttouch!$G$8&gt;yr12donttouch!$G$6</xm:f>
            <x14:dxf>
              <fill>
                <patternFill>
                  <bgColor rgb="FFFFFF00"/>
                </patternFill>
              </fill>
            </x14:dxf>
          </x14:cfRule>
          <x14:cfRule type="expression" priority="42" id="{0719E350-0EF3-4AF5-972F-06C15152A954}">
            <xm:f>yr12donttouch!$G$8&gt;yr12donttouch!$G$5</xm:f>
            <x14:dxf>
              <fill>
                <patternFill>
                  <bgColor rgb="FFFF7C80"/>
                </patternFill>
              </fill>
            </x14:dxf>
          </x14:cfRule>
          <x14:cfRule type="expression" priority="43" id="{1BFF16E4-B87F-4044-BE21-552760F05DA1}">
            <xm:f>yr12donttouch!$G$8&gt;yr12donttouch!$G$4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4" id="{BFF2054E-B375-49F4-90E1-A181FB2D51CD}">
            <xm:f>yr12donttouch!$G$8&gt;yr12donttouch!$G$3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46" id="{8A279E30-E044-43E5-B7F5-1D6E566E91A6}">
            <xm:f>yr12donttouch!$G$8&gt;yr12donttouch!$G$2</xm:f>
            <x14:dxf>
              <fill>
                <patternFill>
                  <bgColor theme="9" tint="0.59996337778862885"/>
                </patternFill>
              </fill>
            </x14:dxf>
          </x14:cfRule>
          <xm:sqref>B1</xm:sqref>
        </x14:conditionalFormatting>
        <x14:conditionalFormatting xmlns:xm="http://schemas.microsoft.com/office/excel/2006/main">
          <x14:cfRule type="expression" priority="1" id="{948434CF-B36A-4208-99EA-43379E1E338B}">
            <xm:f>yr12donttouch!$H$8&lt;yr12donttouch!$H$2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2" id="{2B26D673-3708-43E5-B18D-FC6E73E3BCCD}">
            <xm:f>yr12donttouch!$H$8&gt;yr12donttouch!$H$9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3" id="{F026B6B7-59A5-47F5-B8CC-3C46D41CB4BC}">
            <xm:f>yr12donttouch!$H$8&gt;yr12donttouch!$H$7</xm:f>
            <x14:dxf>
              <fill>
                <patternFill>
                  <bgColor rgb="FF00B0F0"/>
                </patternFill>
              </fill>
            </x14:dxf>
          </x14:cfRule>
          <x14:cfRule type="expression" priority="4" id="{73C5DC0E-685B-44E8-9275-DBEAF93A8006}">
            <xm:f>yr12donttouch!$H$8&gt;yr12donttouch!$H$6</xm:f>
            <x14:dxf>
              <fill>
                <patternFill>
                  <bgColor rgb="FFFFFF00"/>
                </patternFill>
              </fill>
            </x14:dxf>
          </x14:cfRule>
          <x14:cfRule type="expression" priority="5" id="{322EF68A-D09A-4E1B-880C-5A60AC5FDDA7}">
            <xm:f>yr12donttouch!$H$8&gt;yr12donttouch!$H$5</xm:f>
            <x14:dxf>
              <fill>
                <patternFill>
                  <bgColor rgb="FFFF7C80"/>
                </patternFill>
              </fill>
            </x14:dxf>
          </x14:cfRule>
          <x14:cfRule type="expression" priority="6" id="{B549F59B-3571-470A-B3EA-EAF597AADD6A}">
            <xm:f>yr12donttouch!$H$8&gt;yr12donttouch!$H$4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7" id="{2577BE04-4DDD-4582-8662-2EEABC68172A}">
            <xm:f>yr12donttouch!$H$8&gt;yr12donttouch!$H$3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8" id="{6501EC9D-C384-4C60-8A09-04C1631A6E3C}">
            <xm:f>yr12donttouch!$H$8&gt;yr12donttouch!$H$2</xm:f>
            <x14:dxf>
              <fill>
                <patternFill>
                  <bgColor theme="9" tint="0.59996337778862885"/>
                </patternFill>
              </fill>
            </x14:dxf>
          </x14:cfRule>
          <xm:sqref>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EBF1DF4-60B3-4307-A1C3-D3586CEE6674}">
          <x14:formula1>
            <xm:f>yr12donttouch!$F$11:$F$14</xm:f>
          </x14:formula1>
          <xm:sqref>A2</xm:sqref>
        </x14:dataValidation>
        <x14:dataValidation type="list" errorStyle="warning" allowBlank="1" showInputMessage="1" xr:uid="{77EEF027-48FD-489D-AB14-1A45C9292FBF}">
          <x14:formula1>
            <xm:f>yr12donttouch!$C$2:$C$3</xm:f>
          </x14:formula1>
          <xm:sqref>B2 F2 D2</xm:sqref>
        </x14:dataValidation>
        <x14:dataValidation type="list" showInputMessage="1" xr:uid="{08F3551E-798C-4E1B-9DFB-10EB2B1AB707}">
          <x14:formula1>
            <xm:f>yr12donttouch!$B$8:$B$70</xm:f>
          </x14:formula1>
          <xm:sqref>B1:G1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49D80-D7F5-414B-B1C0-8168E12001FA}">
  <sheetPr codeName="Sheet3"/>
  <dimension ref="A1:U78"/>
  <sheetViews>
    <sheetView zoomScale="134" zoomScaleNormal="100" workbookViewId="0">
      <selection activeCell="B6" sqref="B6:D20"/>
    </sheetView>
  </sheetViews>
  <sheetFormatPr defaultRowHeight="15.5" x14ac:dyDescent="0.35"/>
  <cols>
    <col min="1" max="1" width="18.83203125" customWidth="1"/>
    <col min="2" max="2" width="35.33203125" bestFit="1" customWidth="1"/>
    <col min="3" max="3" width="21.75" customWidth="1"/>
    <col min="4" max="4" width="14.75" customWidth="1"/>
    <col min="5" max="5" width="9.5" bestFit="1" customWidth="1"/>
    <col min="6" max="6" width="13.33203125" bestFit="1" customWidth="1"/>
    <col min="7" max="7" width="27.08203125" bestFit="1" customWidth="1"/>
    <col min="8" max="8" width="11.08203125" bestFit="1" customWidth="1"/>
    <col min="21" max="21" width="11.08203125" bestFit="1" customWidth="1"/>
  </cols>
  <sheetData>
    <row r="1" spans="1:21" x14ac:dyDescent="0.35">
      <c r="A1" s="7">
        <v>45229.596261574072</v>
      </c>
      <c r="B1" s="7">
        <v>46269.49795138889</v>
      </c>
      <c r="C1" s="24">
        <f ca="1">B1-TODAY()</f>
        <v>0.49795138889021473</v>
      </c>
      <c r="E1" t="s">
        <v>11</v>
      </c>
      <c r="F1" s="8">
        <v>6.9444444444444441E-3</v>
      </c>
      <c r="G1" s="7" t="s">
        <v>12</v>
      </c>
      <c r="H1" t="s">
        <v>13</v>
      </c>
      <c r="I1" t="s">
        <v>14</v>
      </c>
      <c r="L1" t="s">
        <v>15</v>
      </c>
      <c r="M1" t="s">
        <v>16</v>
      </c>
      <c r="N1" t="s">
        <v>17</v>
      </c>
      <c r="O1" t="s">
        <v>18</v>
      </c>
    </row>
    <row r="2" spans="1:21" x14ac:dyDescent="0.35">
      <c r="B2" s="7"/>
      <c r="C2" s="8">
        <v>0.36458333333333331</v>
      </c>
      <c r="F2" t="s">
        <v>19</v>
      </c>
      <c r="G2" s="19">
        <f>'External Exam Timer YR12'!B2*24*60*60</f>
        <v>31325.999999768101</v>
      </c>
      <c r="H2" s="19">
        <f>'External Exam Timer YR12'!D2*24*60*60</f>
        <v>31500</v>
      </c>
      <c r="I2" s="19">
        <f>'External Exam Timer YR12'!F2*24*60*60</f>
        <v>31500</v>
      </c>
      <c r="L2" t="s">
        <v>19</v>
      </c>
      <c r="M2" s="19">
        <f>'Custom Exam Timer'!B2*24*60*60</f>
        <v>32699.999999999993</v>
      </c>
      <c r="N2" s="19">
        <f>'Custom Exam Timer'!D2*24*60*60</f>
        <v>32699.999999999993</v>
      </c>
      <c r="O2" s="19">
        <f>'Custom Exam Timer'!F2*24*60*60</f>
        <v>32699.999999999993</v>
      </c>
      <c r="T2" t="s">
        <v>20</v>
      </c>
      <c r="U2" s="8">
        <v>0.37847222222222227</v>
      </c>
    </row>
    <row r="3" spans="1:21" x14ac:dyDescent="0.35">
      <c r="B3" s="7"/>
      <c r="C3" s="8">
        <v>0.51041666666666663</v>
      </c>
      <c r="F3" t="s">
        <v>21</v>
      </c>
      <c r="G3" s="19">
        <f>'External Exam Timer YR12'!B4*24*60*60</f>
        <v>31625.999999768093</v>
      </c>
      <c r="H3" s="19">
        <f>'External Exam Timer YR12'!D4*24*60*60</f>
        <v>31500</v>
      </c>
      <c r="I3" s="19">
        <f>'External Exam Timer YR12'!F4*24*60*60</f>
        <v>31500</v>
      </c>
      <c r="L3" t="s">
        <v>21</v>
      </c>
      <c r="M3" s="19">
        <f>'Custom Exam Timer'!B4*24*60*60</f>
        <v>32699.999999999993</v>
      </c>
      <c r="N3" s="19">
        <f>'Custom Exam Timer'!D4*24*60*60</f>
        <v>32699.999999999993</v>
      </c>
      <c r="O3" s="19">
        <f>'Custom Exam Timer'!F4*24*60*60</f>
        <v>32699.999999999993</v>
      </c>
      <c r="T3" t="s">
        <v>22</v>
      </c>
      <c r="U3" s="8">
        <v>0.41666666666666669</v>
      </c>
    </row>
    <row r="4" spans="1:21" x14ac:dyDescent="0.35">
      <c r="B4" s="7"/>
      <c r="F4" t="s">
        <v>23</v>
      </c>
      <c r="G4" s="19">
        <f>'External Exam Timer YR12'!B6*24*60*60</f>
        <v>36425.999999768108</v>
      </c>
      <c r="H4" s="19">
        <f>'External Exam Timer YR12'!D6*24*60*60</f>
        <v>30900</v>
      </c>
      <c r="I4" s="19">
        <f>'External Exam Timer YR12'!F6*24*60*60</f>
        <v>30900</v>
      </c>
      <c r="L4" t="s">
        <v>23</v>
      </c>
      <c r="M4" s="19">
        <f>'Custom Exam Timer'!B6*24*60*60</f>
        <v>32100.000000000007</v>
      </c>
      <c r="N4" s="19">
        <f>'Custom Exam Timer'!D6*24*60*60</f>
        <v>32100.000000000007</v>
      </c>
      <c r="O4" s="19">
        <f>'Custom Exam Timer'!F6*24*60*60</f>
        <v>32100.000000000007</v>
      </c>
      <c r="T4" t="s">
        <v>24</v>
      </c>
      <c r="U4" s="8">
        <v>0.46527777777777773</v>
      </c>
    </row>
    <row r="5" spans="1:21" x14ac:dyDescent="0.35">
      <c r="B5" s="7"/>
      <c r="F5" t="s">
        <v>25</v>
      </c>
      <c r="G5" s="19">
        <f>'External Exam Timer YR12'!B7*24*60*60</f>
        <v>37025.999999768093</v>
      </c>
      <c r="H5" s="19">
        <f>'External Exam Timer YR12'!D7*24*60*60</f>
        <v>31500</v>
      </c>
      <c r="I5" s="19">
        <f>'External Exam Timer YR12'!F7*24*60*60</f>
        <v>31500</v>
      </c>
      <c r="L5" t="s">
        <v>25</v>
      </c>
      <c r="M5" s="19">
        <f>'Custom Exam Timer'!B7*24*60*60</f>
        <v>32699.999999999993</v>
      </c>
      <c r="N5" s="19">
        <f>'Custom Exam Timer'!D7*24*60*60</f>
        <v>32699.999999999993</v>
      </c>
      <c r="O5" s="19">
        <f>'Custom Exam Timer'!F7*24*60*60</f>
        <v>32699.999999999993</v>
      </c>
      <c r="T5" t="s">
        <v>26</v>
      </c>
      <c r="U5" s="8">
        <v>0.50347222222222221</v>
      </c>
    </row>
    <row r="6" spans="1:21" x14ac:dyDescent="0.35">
      <c r="F6" t="s">
        <v>27</v>
      </c>
      <c r="G6" s="19">
        <f>'External Exam Timer YR12'!B9*24*60*60</f>
        <v>37925.999999768101</v>
      </c>
      <c r="H6" s="19">
        <f>'External Exam Timer YR12'!D9*24*60*60</f>
        <v>31500</v>
      </c>
      <c r="I6" s="19">
        <f>'External Exam Timer YR12'!F9*24*60*60</f>
        <v>31500</v>
      </c>
      <c r="L6" t="s">
        <v>27</v>
      </c>
      <c r="M6" s="19">
        <f>'Custom Exam Timer'!B9*24*60*60</f>
        <v>32699.999999999993</v>
      </c>
      <c r="N6" s="19">
        <f>'Custom Exam Timer'!D9*24*60*60</f>
        <v>32699.999999999993</v>
      </c>
      <c r="O6" s="19">
        <f>'Custom Exam Timer'!F9*24*60*60</f>
        <v>32699.999999999993</v>
      </c>
      <c r="T6" t="s">
        <v>28</v>
      </c>
      <c r="U6" s="8">
        <v>0.56597222222222221</v>
      </c>
    </row>
    <row r="7" spans="1:21" x14ac:dyDescent="0.35">
      <c r="B7" t="s">
        <v>29</v>
      </c>
      <c r="C7" t="s">
        <v>30</v>
      </c>
      <c r="D7" t="s">
        <v>31</v>
      </c>
      <c r="F7" t="s">
        <v>32</v>
      </c>
      <c r="G7" s="19">
        <f>'External Exam Timer YR12'!B10*24*60*60</f>
        <v>38825.999999768093</v>
      </c>
      <c r="H7" s="19">
        <f>'External Exam Timer YR12'!D10*24*60*60</f>
        <v>31500</v>
      </c>
      <c r="I7" s="19">
        <f>'External Exam Timer YR12'!F10*24*60*60</f>
        <v>31500</v>
      </c>
      <c r="L7" t="s">
        <v>32</v>
      </c>
      <c r="M7" s="19">
        <f>'Custom Exam Timer'!B10*24*60*60</f>
        <v>32699.999999999993</v>
      </c>
      <c r="N7" s="19">
        <f>'Custom Exam Timer'!D10*24*60*60</f>
        <v>32699.999999999993</v>
      </c>
      <c r="O7" s="19">
        <f>'Custom Exam Timer'!F10*24*60*60</f>
        <v>32699.999999999993</v>
      </c>
      <c r="T7" t="s">
        <v>33</v>
      </c>
      <c r="U7" s="8">
        <v>0.60069444444444442</v>
      </c>
    </row>
    <row r="8" spans="1:21" x14ac:dyDescent="0.35">
      <c r="B8" t="s">
        <v>34</v>
      </c>
      <c r="C8" s="18">
        <v>1.0416666666666666E-2</v>
      </c>
      <c r="D8" s="18">
        <v>8.3333333333333329E-2</v>
      </c>
      <c r="E8" s="19"/>
      <c r="F8" s="19"/>
      <c r="G8" s="19">
        <f ca="1">C1*24*60*60</f>
        <v>43023.000000114553</v>
      </c>
      <c r="H8" s="19">
        <f ca="1">G8</f>
        <v>43023.000000114553</v>
      </c>
      <c r="I8" s="19">
        <f ca="1">G8</f>
        <v>43023.000000114553</v>
      </c>
      <c r="L8" s="19"/>
      <c r="M8" s="19">
        <f ca="1">C1*24*60*60</f>
        <v>43023.000000114553</v>
      </c>
      <c r="N8" s="19">
        <f ca="1">M8</f>
        <v>43023.000000114553</v>
      </c>
      <c r="O8" s="19">
        <f ca="1">M8</f>
        <v>43023.000000114553</v>
      </c>
    </row>
    <row r="9" spans="1:21" x14ac:dyDescent="0.35">
      <c r="B9" t="s">
        <v>35</v>
      </c>
      <c r="C9" s="18">
        <v>1.0416666666666666E-2</v>
      </c>
      <c r="D9" s="18">
        <v>8.3333333333333329E-2</v>
      </c>
      <c r="E9" s="19"/>
      <c r="F9" s="19"/>
      <c r="G9" s="19">
        <f>G7+900</f>
        <v>39725.999999768093</v>
      </c>
      <c r="H9" s="19">
        <f>H7+900</f>
        <v>32400</v>
      </c>
      <c r="I9" s="19">
        <f>I7+900</f>
        <v>32400</v>
      </c>
      <c r="L9" s="19"/>
      <c r="M9" s="19">
        <f>M7+900</f>
        <v>33599.999999999993</v>
      </c>
      <c r="N9" s="19">
        <f>N7+900</f>
        <v>33599.999999999993</v>
      </c>
      <c r="O9" s="19">
        <f>O7+900</f>
        <v>33599.999999999993</v>
      </c>
    </row>
    <row r="10" spans="1:21" x14ac:dyDescent="0.35">
      <c r="B10" t="s">
        <v>36</v>
      </c>
      <c r="C10" s="18">
        <v>6.9444444444444441E-3</v>
      </c>
      <c r="D10" s="18">
        <v>8.3333333333333329E-2</v>
      </c>
      <c r="E10" s="19"/>
      <c r="F10" s="19"/>
      <c r="G10" s="19"/>
    </row>
    <row r="11" spans="1:21" x14ac:dyDescent="0.35">
      <c r="B11" t="s">
        <v>9</v>
      </c>
      <c r="C11" s="18">
        <v>6.9444444444444441E-3</v>
      </c>
      <c r="D11" s="18">
        <v>6.25E-2</v>
      </c>
      <c r="E11" s="19"/>
      <c r="F11" s="19" t="s">
        <v>0</v>
      </c>
      <c r="G11" s="19" t="s">
        <v>37</v>
      </c>
    </row>
    <row r="12" spans="1:21" x14ac:dyDescent="0.35">
      <c r="B12" t="s">
        <v>7</v>
      </c>
      <c r="C12" s="18">
        <v>6.9444444444444441E-3</v>
      </c>
      <c r="D12" s="18">
        <v>6.25E-2</v>
      </c>
      <c r="E12" s="19"/>
      <c r="F12" s="19" t="s">
        <v>10</v>
      </c>
      <c r="G12" s="19" t="s">
        <v>38</v>
      </c>
    </row>
    <row r="13" spans="1:21" x14ac:dyDescent="0.35">
      <c r="B13" t="s">
        <v>39</v>
      </c>
      <c r="C13" s="18">
        <v>1.0416666666666666E-2</v>
      </c>
      <c r="D13" s="18">
        <v>8.3333333333333329E-2</v>
      </c>
      <c r="E13" s="19"/>
      <c r="F13" s="19" t="s">
        <v>40</v>
      </c>
      <c r="G13" s="19" t="s">
        <v>41</v>
      </c>
    </row>
    <row r="14" spans="1:21" x14ac:dyDescent="0.35">
      <c r="B14" t="s">
        <v>42</v>
      </c>
      <c r="C14" s="18">
        <v>6.9444444444444441E-3</v>
      </c>
      <c r="D14" s="18">
        <v>6.25E-2</v>
      </c>
      <c r="E14" s="19"/>
      <c r="F14" s="19" t="s">
        <v>93</v>
      </c>
      <c r="G14" s="33" t="s">
        <v>94</v>
      </c>
    </row>
    <row r="15" spans="1:21" x14ac:dyDescent="0.35">
      <c r="B15" t="s">
        <v>43</v>
      </c>
      <c r="C15" s="18">
        <v>6.9444444444444441E-3</v>
      </c>
      <c r="D15" s="18">
        <v>6.25E-2</v>
      </c>
      <c r="E15" s="19"/>
      <c r="F15" s="29">
        <v>0</v>
      </c>
      <c r="G15" s="19"/>
    </row>
    <row r="16" spans="1:21" x14ac:dyDescent="0.35">
      <c r="B16" t="s">
        <v>44</v>
      </c>
      <c r="C16" s="18">
        <v>1.0416666666666666E-2</v>
      </c>
      <c r="D16" s="18">
        <v>8.3333333333333329E-2</v>
      </c>
      <c r="E16" s="19"/>
      <c r="F16" s="29">
        <v>4.1666666666666699E-2</v>
      </c>
      <c r="G16" s="19"/>
    </row>
    <row r="17" spans="2:7" x14ac:dyDescent="0.35">
      <c r="B17" t="s">
        <v>45</v>
      </c>
      <c r="C17" s="18">
        <v>6.9444444444444441E-3</v>
      </c>
      <c r="D17" s="18">
        <v>6.25E-2</v>
      </c>
      <c r="E17" s="19"/>
      <c r="F17" s="19"/>
      <c r="G17" s="19"/>
    </row>
    <row r="18" spans="2:7" x14ac:dyDescent="0.35">
      <c r="B18" t="s">
        <v>46</v>
      </c>
      <c r="C18" s="18">
        <v>6.9444444444444441E-3</v>
      </c>
      <c r="D18" s="18">
        <v>6.25E-2</v>
      </c>
      <c r="E18" s="19"/>
      <c r="F18" s="19" t="s">
        <v>99</v>
      </c>
      <c r="G18" s="19"/>
    </row>
    <row r="19" spans="2:7" x14ac:dyDescent="0.35">
      <c r="B19" t="s">
        <v>47</v>
      </c>
      <c r="C19" s="1">
        <v>3.472222222222222E-3</v>
      </c>
      <c r="D19" s="18">
        <v>8.3333333333333329E-2</v>
      </c>
      <c r="E19" s="19"/>
      <c r="F19" s="19" t="s">
        <v>100</v>
      </c>
      <c r="G19" s="19"/>
    </row>
    <row r="20" spans="2:7" x14ac:dyDescent="0.35">
      <c r="B20" t="s">
        <v>48</v>
      </c>
      <c r="C20" s="18">
        <v>1.3888888888888888E-2</v>
      </c>
      <c r="D20" s="18">
        <v>8.3333333333333329E-2</v>
      </c>
      <c r="E20" s="19"/>
      <c r="F20" s="19"/>
      <c r="G20" s="19"/>
    </row>
    <row r="21" spans="2:7" x14ac:dyDescent="0.35">
      <c r="B21" t="s">
        <v>49</v>
      </c>
      <c r="C21" s="18">
        <v>1.3888888888888888E-2</v>
      </c>
      <c r="D21" s="18">
        <v>8.3333333333333329E-2</v>
      </c>
      <c r="E21" s="19"/>
      <c r="F21" s="19"/>
      <c r="G21" s="19"/>
    </row>
    <row r="22" spans="2:7" x14ac:dyDescent="0.35">
      <c r="B22" t="s">
        <v>50</v>
      </c>
      <c r="C22" s="18">
        <v>1.0416666666666666E-2</v>
      </c>
      <c r="D22" s="18">
        <v>8.3333333333333329E-2</v>
      </c>
      <c r="E22" s="19"/>
      <c r="F22" s="19"/>
      <c r="G22" s="19"/>
    </row>
    <row r="23" spans="2:7" x14ac:dyDescent="0.35">
      <c r="B23" t="s">
        <v>51</v>
      </c>
      <c r="C23" s="18">
        <v>1.0416666666666666E-2</v>
      </c>
      <c r="D23" s="18">
        <v>8.3333333333333329E-2</v>
      </c>
      <c r="E23" s="19"/>
      <c r="F23" s="19"/>
      <c r="G23" s="19"/>
    </row>
    <row r="24" spans="2:7" x14ac:dyDescent="0.35">
      <c r="B24" t="s">
        <v>52</v>
      </c>
      <c r="C24" s="18">
        <v>1.3888888888888888E-2</v>
      </c>
      <c r="D24" s="18">
        <v>8.3333333333333329E-2</v>
      </c>
      <c r="E24" s="19"/>
      <c r="F24" s="19"/>
      <c r="G24" s="19"/>
    </row>
    <row r="25" spans="2:7" x14ac:dyDescent="0.35">
      <c r="B25" t="s">
        <v>53</v>
      </c>
      <c r="C25" s="18">
        <v>6.9444444444444441E-3</v>
      </c>
      <c r="D25" s="18">
        <v>6.25E-2</v>
      </c>
      <c r="E25" s="19"/>
      <c r="F25" s="19"/>
      <c r="G25" s="19"/>
    </row>
    <row r="26" spans="2:7" x14ac:dyDescent="0.35">
      <c r="B26" t="s">
        <v>54</v>
      </c>
      <c r="C26" s="18">
        <v>6.9444444444444441E-3</v>
      </c>
      <c r="D26" s="18">
        <v>6.25E-2</v>
      </c>
      <c r="E26" s="19"/>
      <c r="F26" s="19"/>
      <c r="G26" s="19"/>
    </row>
    <row r="27" spans="2:7" x14ac:dyDescent="0.35">
      <c r="B27" t="s">
        <v>55</v>
      </c>
      <c r="C27" s="18">
        <v>1.0416666666666666E-2</v>
      </c>
      <c r="D27" s="18">
        <v>8.3333333333333329E-2</v>
      </c>
      <c r="E27" s="19"/>
      <c r="F27" s="19"/>
      <c r="G27" s="19"/>
    </row>
    <row r="28" spans="2:7" x14ac:dyDescent="0.35">
      <c r="B28" t="s">
        <v>56</v>
      </c>
      <c r="C28" s="18">
        <v>6.9444444444444441E-3</v>
      </c>
      <c r="D28" s="18">
        <v>8.3333333333333329E-2</v>
      </c>
      <c r="E28" s="19"/>
      <c r="F28" s="19"/>
      <c r="G28" s="19"/>
    </row>
    <row r="29" spans="2:7" x14ac:dyDescent="0.35">
      <c r="B29" t="s">
        <v>57</v>
      </c>
      <c r="C29" s="18">
        <v>1.0416666666666666E-2</v>
      </c>
      <c r="D29" s="18">
        <v>8.3333333333333329E-2</v>
      </c>
      <c r="E29" s="19"/>
      <c r="F29" s="19"/>
      <c r="G29" s="19"/>
    </row>
    <row r="30" spans="2:7" x14ac:dyDescent="0.35">
      <c r="B30" t="s">
        <v>58</v>
      </c>
      <c r="C30" s="18">
        <v>2.0833333333333332E-2</v>
      </c>
      <c r="D30" s="18">
        <v>8.3333333333333329E-2</v>
      </c>
      <c r="E30" s="19"/>
      <c r="F30" s="19"/>
      <c r="G30" s="19"/>
    </row>
    <row r="31" spans="2:7" x14ac:dyDescent="0.35">
      <c r="B31" t="s">
        <v>59</v>
      </c>
      <c r="C31" s="18">
        <v>1.0416666666666666E-2</v>
      </c>
      <c r="D31" s="18">
        <v>8.3333333333333329E-2</v>
      </c>
      <c r="E31" s="19"/>
      <c r="F31" s="19"/>
      <c r="G31" s="19"/>
    </row>
    <row r="32" spans="2:7" x14ac:dyDescent="0.35">
      <c r="B32" t="s">
        <v>60</v>
      </c>
      <c r="C32" s="18">
        <v>1.3888888888888888E-2</v>
      </c>
      <c r="D32" s="18">
        <v>8.3333333333333329E-2</v>
      </c>
      <c r="E32" s="19"/>
      <c r="F32" s="19"/>
      <c r="G32" s="19"/>
    </row>
    <row r="33" spans="2:7" x14ac:dyDescent="0.35">
      <c r="B33" t="s">
        <v>61</v>
      </c>
      <c r="C33" s="18">
        <v>6.9444444444444441E-3</v>
      </c>
      <c r="D33" s="18">
        <v>8.3333333333333329E-2</v>
      </c>
      <c r="E33" s="19"/>
      <c r="F33" s="19"/>
      <c r="G33" s="19"/>
    </row>
    <row r="34" spans="2:7" x14ac:dyDescent="0.35">
      <c r="B34" t="s">
        <v>62</v>
      </c>
      <c r="C34" s="18">
        <v>3.472222222222222E-3</v>
      </c>
      <c r="D34" s="18">
        <v>8.3333333333333329E-2</v>
      </c>
      <c r="E34" s="19"/>
      <c r="F34" s="19"/>
      <c r="G34" s="19"/>
    </row>
    <row r="35" spans="2:7" x14ac:dyDescent="0.35">
      <c r="B35" t="s">
        <v>63</v>
      </c>
      <c r="C35" s="18">
        <v>1.3888888888888888E-2</v>
      </c>
      <c r="D35" s="18">
        <v>8.3333333333333329E-2</v>
      </c>
      <c r="E35" s="19"/>
      <c r="F35" s="19"/>
      <c r="G35" s="19"/>
    </row>
    <row r="36" spans="2:7" x14ac:dyDescent="0.35">
      <c r="B36" t="s">
        <v>64</v>
      </c>
      <c r="C36" s="18">
        <v>3.472222222222222E-3</v>
      </c>
      <c r="D36" s="18">
        <v>6.25E-2</v>
      </c>
      <c r="E36" s="19"/>
      <c r="F36" s="19"/>
      <c r="G36" s="19"/>
    </row>
    <row r="37" spans="2:7" x14ac:dyDescent="0.35">
      <c r="B37" t="s">
        <v>65</v>
      </c>
      <c r="C37" s="18">
        <v>3.472222222222222E-3</v>
      </c>
      <c r="D37" s="18">
        <v>6.25E-2</v>
      </c>
      <c r="E37" s="19"/>
      <c r="F37" s="19"/>
      <c r="G37" s="19"/>
    </row>
    <row r="38" spans="2:7" x14ac:dyDescent="0.35">
      <c r="B38" t="s">
        <v>66</v>
      </c>
      <c r="C38" s="18">
        <v>1.0416666666666666E-2</v>
      </c>
      <c r="D38" s="18">
        <v>8.3333333333333329E-2</v>
      </c>
      <c r="E38" s="19"/>
      <c r="F38" s="19"/>
      <c r="G38" s="19"/>
    </row>
    <row r="39" spans="2:7" x14ac:dyDescent="0.35">
      <c r="B39" t="s">
        <v>67</v>
      </c>
      <c r="C39" s="18">
        <v>3.472222222222222E-3</v>
      </c>
      <c r="D39" s="18">
        <v>8.3333333333333329E-2</v>
      </c>
      <c r="E39" s="19"/>
      <c r="F39" s="19"/>
      <c r="G39" s="19"/>
    </row>
    <row r="40" spans="2:7" x14ac:dyDescent="0.35">
      <c r="B40" t="s">
        <v>68</v>
      </c>
      <c r="C40" s="18">
        <v>1.3888888888888888E-2</v>
      </c>
      <c r="D40" s="18">
        <v>8.3333333333333329E-2</v>
      </c>
      <c r="E40" s="19"/>
      <c r="F40" s="19"/>
      <c r="G40" s="19"/>
    </row>
    <row r="41" spans="2:7" x14ac:dyDescent="0.35">
      <c r="B41" t="s">
        <v>69</v>
      </c>
      <c r="C41" s="18">
        <v>1.0416666666666666E-2</v>
      </c>
      <c r="D41" s="18">
        <v>8.3333333333333329E-2</v>
      </c>
      <c r="E41" s="19"/>
      <c r="F41" s="19"/>
      <c r="G41" s="19"/>
    </row>
    <row r="42" spans="2:7" x14ac:dyDescent="0.35">
      <c r="B42" t="s">
        <v>70</v>
      </c>
      <c r="C42" s="1">
        <v>3.472222222222222E-3</v>
      </c>
      <c r="D42" s="18">
        <v>8.3333333333333329E-2</v>
      </c>
      <c r="E42" s="19"/>
      <c r="F42" s="19"/>
      <c r="G42" s="19"/>
    </row>
    <row r="43" spans="2:7" x14ac:dyDescent="0.35">
      <c r="B43" t="s">
        <v>71</v>
      </c>
      <c r="C43" s="1">
        <v>3.472222222222222E-3</v>
      </c>
      <c r="D43" s="18">
        <v>8.3333333333333329E-2</v>
      </c>
      <c r="E43" s="19"/>
      <c r="F43" s="19"/>
      <c r="G43" s="19"/>
    </row>
    <row r="44" spans="2:7" x14ac:dyDescent="0.35">
      <c r="B44" t="s">
        <v>72</v>
      </c>
      <c r="C44" s="18">
        <v>1.0416666666666666E-2</v>
      </c>
      <c r="D44" s="18">
        <v>8.3333333333333329E-2</v>
      </c>
      <c r="E44" s="19"/>
      <c r="F44" s="19"/>
      <c r="G44" s="19"/>
    </row>
    <row r="45" spans="2:7" x14ac:dyDescent="0.35">
      <c r="B45" t="s">
        <v>73</v>
      </c>
      <c r="C45" s="18">
        <v>1.0416666666666666E-2</v>
      </c>
      <c r="D45" s="18">
        <v>8.3333333333333329E-2</v>
      </c>
      <c r="E45" s="19"/>
      <c r="F45" s="19"/>
      <c r="G45" s="19"/>
    </row>
    <row r="46" spans="2:7" x14ac:dyDescent="0.35">
      <c r="B46" t="s">
        <v>74</v>
      </c>
      <c r="C46" s="18">
        <v>6.9444444444444441E-3</v>
      </c>
      <c r="D46" s="18">
        <v>6.25E-2</v>
      </c>
      <c r="E46" s="19"/>
      <c r="F46" s="19"/>
      <c r="G46" s="19"/>
    </row>
    <row r="47" spans="2:7" x14ac:dyDescent="0.35">
      <c r="B47" t="s">
        <v>8</v>
      </c>
      <c r="C47" s="18">
        <v>6.9444444444444441E-3</v>
      </c>
      <c r="D47" s="18">
        <v>6.25E-2</v>
      </c>
      <c r="E47" s="19"/>
      <c r="F47" s="19"/>
      <c r="G47" s="19"/>
    </row>
    <row r="48" spans="2:7" x14ac:dyDescent="0.35">
      <c r="B48" t="s">
        <v>75</v>
      </c>
      <c r="C48" s="18">
        <v>3.472222222222222E-3</v>
      </c>
      <c r="D48" s="18">
        <v>6.25E-2</v>
      </c>
      <c r="E48" s="19"/>
      <c r="F48" s="19"/>
      <c r="G48" s="19"/>
    </row>
    <row r="49" spans="2:7" x14ac:dyDescent="0.35">
      <c r="B49" t="s">
        <v>76</v>
      </c>
      <c r="C49" s="18">
        <v>3.472222222222222E-3</v>
      </c>
      <c r="D49" s="18">
        <v>6.25E-2</v>
      </c>
      <c r="E49" s="19"/>
      <c r="F49" s="19"/>
      <c r="G49" s="19"/>
    </row>
    <row r="50" spans="2:7" x14ac:dyDescent="0.35">
      <c r="B50" t="s">
        <v>77</v>
      </c>
      <c r="C50" s="18">
        <v>1.0416666666666666E-2</v>
      </c>
      <c r="D50" s="18">
        <v>8.3333333333333329E-2</v>
      </c>
      <c r="E50" s="19"/>
      <c r="F50" s="19"/>
      <c r="G50" s="19"/>
    </row>
    <row r="51" spans="2:7" x14ac:dyDescent="0.35">
      <c r="B51" t="s">
        <v>78</v>
      </c>
      <c r="C51" s="18">
        <v>1.3888888888888888E-2</v>
      </c>
      <c r="D51" s="18">
        <v>8.3333333333333329E-2</v>
      </c>
      <c r="E51" s="19"/>
      <c r="F51" s="19"/>
      <c r="G51" s="19"/>
    </row>
    <row r="52" spans="2:7" x14ac:dyDescent="0.35">
      <c r="B52" t="s">
        <v>79</v>
      </c>
      <c r="C52" s="18">
        <v>1.3888888888888888E-2</v>
      </c>
      <c r="D52" s="18">
        <v>8.3333333333333329E-2</v>
      </c>
      <c r="E52" s="19"/>
      <c r="F52" s="19"/>
      <c r="G52" s="19"/>
    </row>
    <row r="53" spans="2:7" x14ac:dyDescent="0.35">
      <c r="B53" t="s">
        <v>80</v>
      </c>
      <c r="C53" s="18">
        <v>1.0416666666666666E-2</v>
      </c>
      <c r="D53" s="18">
        <v>8.3333333333333329E-2</v>
      </c>
      <c r="E53" s="19"/>
      <c r="F53" s="19"/>
      <c r="G53" s="19"/>
    </row>
    <row r="54" spans="2:7" x14ac:dyDescent="0.35">
      <c r="B54" t="s">
        <v>81</v>
      </c>
      <c r="C54" s="18">
        <v>1.0416666666666666E-2</v>
      </c>
      <c r="D54" s="18">
        <v>8.3333333333333329E-2</v>
      </c>
      <c r="E54" s="19"/>
      <c r="F54" s="19"/>
      <c r="G54" s="19"/>
    </row>
    <row r="55" spans="2:7" x14ac:dyDescent="0.35">
      <c r="B55" t="s">
        <v>82</v>
      </c>
      <c r="C55" s="18">
        <v>6.9444444444444441E-3</v>
      </c>
      <c r="D55" s="18">
        <v>6.25E-2</v>
      </c>
      <c r="E55" s="19"/>
      <c r="F55" s="19"/>
      <c r="G55" s="19"/>
    </row>
    <row r="56" spans="2:7" x14ac:dyDescent="0.35">
      <c r="B56" t="s">
        <v>83</v>
      </c>
      <c r="C56" s="18">
        <v>6.9444444444444441E-3</v>
      </c>
      <c r="D56" s="18">
        <v>6.25E-2</v>
      </c>
      <c r="E56" s="19"/>
      <c r="F56" s="19"/>
      <c r="G56" s="19"/>
    </row>
    <row r="57" spans="2:7" x14ac:dyDescent="0.35">
      <c r="B57" t="s">
        <v>84</v>
      </c>
      <c r="C57" s="18">
        <v>6.9444444444444441E-3</v>
      </c>
      <c r="D57" s="18">
        <v>6.25E-2</v>
      </c>
      <c r="E57" s="19"/>
      <c r="F57" s="19"/>
      <c r="G57" s="19"/>
    </row>
    <row r="58" spans="2:7" x14ac:dyDescent="0.35">
      <c r="B58" t="s">
        <v>85</v>
      </c>
      <c r="C58" s="18">
        <v>6.9444444444444441E-3</v>
      </c>
      <c r="D58" s="18">
        <v>6.25E-2</v>
      </c>
      <c r="E58" s="19"/>
      <c r="F58" s="19"/>
      <c r="G58" s="19"/>
    </row>
    <row r="59" spans="2:7" x14ac:dyDescent="0.35">
      <c r="B59" t="s">
        <v>86</v>
      </c>
      <c r="C59" s="18">
        <v>3.472222222222222E-3</v>
      </c>
      <c r="D59" s="18">
        <v>8.3333333333333329E-2</v>
      </c>
      <c r="E59" s="19"/>
      <c r="F59" s="19"/>
      <c r="G59" s="19"/>
    </row>
    <row r="60" spans="2:7" x14ac:dyDescent="0.35">
      <c r="B60" t="s">
        <v>87</v>
      </c>
      <c r="C60" s="18">
        <v>3.472222222222222E-3</v>
      </c>
      <c r="D60" s="18">
        <v>6.25E-2</v>
      </c>
      <c r="E60" s="19"/>
      <c r="F60" s="19"/>
      <c r="G60" s="19"/>
    </row>
    <row r="61" spans="2:7" x14ac:dyDescent="0.35">
      <c r="B61" t="s">
        <v>88</v>
      </c>
      <c r="C61" s="18">
        <v>3.472222222222222E-3</v>
      </c>
      <c r="D61" s="18">
        <v>6.25E-2</v>
      </c>
      <c r="E61" s="19"/>
      <c r="F61" s="19"/>
      <c r="G61" s="19"/>
    </row>
    <row r="62" spans="2:7" x14ac:dyDescent="0.35">
      <c r="B62" t="s">
        <v>89</v>
      </c>
      <c r="C62" s="18">
        <v>1.0416666666666666E-2</v>
      </c>
      <c r="D62" s="18">
        <v>8.3333333333333329E-2</v>
      </c>
      <c r="E62" s="19"/>
      <c r="F62" s="19"/>
      <c r="G62" s="19"/>
    </row>
    <row r="63" spans="2:7" x14ac:dyDescent="0.35">
      <c r="B63" t="s">
        <v>90</v>
      </c>
      <c r="C63" s="18">
        <v>1.3888888888888888E-2</v>
      </c>
      <c r="D63" s="18">
        <v>8.3333333333333329E-2</v>
      </c>
      <c r="E63" s="19"/>
      <c r="F63" s="19"/>
      <c r="G63" s="19"/>
    </row>
    <row r="64" spans="2:7" x14ac:dyDescent="0.35">
      <c r="B64" t="s">
        <v>95</v>
      </c>
      <c r="C64" s="18">
        <v>0</v>
      </c>
      <c r="D64" s="18">
        <v>0</v>
      </c>
    </row>
    <row r="65" spans="2:9" x14ac:dyDescent="0.35">
      <c r="B65" t="s">
        <v>96</v>
      </c>
      <c r="C65" s="18">
        <v>0</v>
      </c>
      <c r="D65" s="18">
        <v>0</v>
      </c>
    </row>
    <row r="66" spans="2:9" x14ac:dyDescent="0.35">
      <c r="B66" t="s">
        <v>97</v>
      </c>
      <c r="C66" s="18">
        <v>0</v>
      </c>
      <c r="D66" s="18">
        <v>0</v>
      </c>
    </row>
    <row r="78" spans="2:9" x14ac:dyDescent="0.35">
      <c r="I78" s="29"/>
    </row>
  </sheetData>
  <autoFilter ref="B7:D7" xr:uid="{BB349D80-D7F5-414B-B1C0-8168E12001FA}">
    <sortState xmlns:xlrd2="http://schemas.microsoft.com/office/spreadsheetml/2017/richdata2" ref="B8:D63">
      <sortCondition ref="B7"/>
    </sortState>
  </autoFilter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B1965-48E4-4D2A-A2F1-2601F45E219F}">
  <sheetPr codeName="Sheet5"/>
  <dimension ref="A1:C12"/>
  <sheetViews>
    <sheetView workbookViewId="0">
      <selection activeCell="C13" sqref="C13"/>
    </sheetView>
  </sheetViews>
  <sheetFormatPr defaultRowHeight="15.5" x14ac:dyDescent="0.35"/>
  <cols>
    <col min="1" max="1" width="35" bestFit="1" customWidth="1"/>
    <col min="2" max="2" width="21.75" customWidth="1"/>
    <col min="3" max="3" width="14.75" customWidth="1"/>
  </cols>
  <sheetData>
    <row r="1" spans="1:3" ht="31" x14ac:dyDescent="0.35">
      <c r="A1" s="30" t="s">
        <v>101</v>
      </c>
      <c r="B1" s="30" t="s">
        <v>91</v>
      </c>
      <c r="C1" s="31" t="s">
        <v>92</v>
      </c>
    </row>
    <row r="2" spans="1:3" x14ac:dyDescent="0.35">
      <c r="A2" t="s">
        <v>97</v>
      </c>
      <c r="B2" s="18">
        <v>0</v>
      </c>
      <c r="C2" s="18">
        <v>0</v>
      </c>
    </row>
    <row r="3" spans="1:3" x14ac:dyDescent="0.35">
      <c r="A3" t="s">
        <v>96</v>
      </c>
      <c r="B3" s="18">
        <v>0</v>
      </c>
      <c r="C3" s="18">
        <v>0</v>
      </c>
    </row>
    <row r="4" spans="1:3" x14ac:dyDescent="0.35">
      <c r="A4" t="s">
        <v>95</v>
      </c>
      <c r="B4" s="18">
        <v>0</v>
      </c>
      <c r="C4" s="18">
        <v>0</v>
      </c>
    </row>
    <row r="5" spans="1:3" x14ac:dyDescent="0.35">
      <c r="A5" t="s">
        <v>103</v>
      </c>
      <c r="B5" s="18">
        <v>3.472222222222222E-3</v>
      </c>
      <c r="C5" s="18">
        <v>6.25E-2</v>
      </c>
    </row>
    <row r="6" spans="1:3" x14ac:dyDescent="0.35">
      <c r="A6" t="s">
        <v>104</v>
      </c>
      <c r="B6" s="18">
        <v>1.736111111111111E-3</v>
      </c>
      <c r="C6" s="18">
        <v>3.125E-2</v>
      </c>
    </row>
    <row r="7" spans="1:3" x14ac:dyDescent="0.35">
      <c r="A7" t="s">
        <v>105</v>
      </c>
      <c r="B7" s="18">
        <v>1.736111111111111E-3</v>
      </c>
      <c r="C7" s="18">
        <v>3.125E-2</v>
      </c>
    </row>
    <row r="8" spans="1:3" x14ac:dyDescent="0.35">
      <c r="A8" t="s">
        <v>102</v>
      </c>
      <c r="B8" s="18">
        <v>1.736111111111111E-3</v>
      </c>
      <c r="C8" s="18">
        <v>3.125E-2</v>
      </c>
    </row>
    <row r="9" spans="1:3" x14ac:dyDescent="0.35">
      <c r="A9" t="s">
        <v>106</v>
      </c>
      <c r="B9" s="18">
        <v>1.736111111111111E-3</v>
      </c>
      <c r="C9" s="18">
        <v>3.125E-2</v>
      </c>
    </row>
    <row r="10" spans="1:3" x14ac:dyDescent="0.35">
      <c r="A10" t="s">
        <v>107</v>
      </c>
      <c r="B10" s="18">
        <v>1.736111111111111E-3</v>
      </c>
      <c r="C10" s="18">
        <v>3.125E-2</v>
      </c>
    </row>
    <row r="11" spans="1:3" x14ac:dyDescent="0.35">
      <c r="A11" t="s">
        <v>108</v>
      </c>
      <c r="B11" s="18">
        <v>0</v>
      </c>
      <c r="C11" s="18">
        <v>5.5555555555555552E-2</v>
      </c>
    </row>
    <row r="12" spans="1:3" x14ac:dyDescent="0.35">
      <c r="A12" t="s">
        <v>109</v>
      </c>
      <c r="B12" s="18">
        <v>0</v>
      </c>
      <c r="C12" s="18">
        <v>5.2083333333333336E-2</v>
      </c>
    </row>
  </sheetData>
  <sheetProtection insertRows="0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124AAED1CA8A43BC37C60A3AAEFAC3" ma:contentTypeVersion="21" ma:contentTypeDescription="Create a new document." ma:contentTypeScope="" ma:versionID="0311ca0ea45f86e54f1ca912ad2d8675">
  <xsd:schema xmlns:xsd="http://www.w3.org/2001/XMLSchema" xmlns:xs="http://www.w3.org/2001/XMLSchema" xmlns:p="http://schemas.microsoft.com/office/2006/metadata/properties" xmlns:ns2="9d121a4c-2861-47bc-9530-2e51aec9a109" xmlns:ns3="8ec714c9-4e36-4e67-8f8d-7c5b26725506" targetNamespace="http://schemas.microsoft.com/office/2006/metadata/properties" ma:root="true" ma:fieldsID="821671f4cc12b5aeb7d4a4c426af2c37" ns2:_="" ns3:_="">
    <xsd:import namespace="9d121a4c-2861-47bc-9530-2e51aec9a109"/>
    <xsd:import namespace="8ec714c9-4e36-4e67-8f8d-7c5b26725506"/>
    <xsd:element name="properties">
      <xsd:complexType>
        <xsd:sequence>
          <xsd:element name="documentManagement">
            <xsd:complexType>
              <xsd:all>
                <xsd:element ref="ns2:_Flow_SignoffStatus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121a4c-2861-47bc-9530-2e51aec9a109" elementFormDefault="qualified">
    <xsd:import namespace="http://schemas.microsoft.com/office/2006/documentManagement/types"/>
    <xsd:import namespace="http://schemas.microsoft.com/office/infopath/2007/PartnerControls"/>
    <xsd:element name="_Flow_SignoffStatus" ma:index="2" nillable="true" ma:displayName="Sign-off status" ma:internalName="Sign_x002d_off_x0020_status" ma:readOnly="false">
      <xsd:simpleType>
        <xsd:restriction base="dms:Text"/>
      </xsd:simple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hidden="true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4" nillable="true" ma:displayName="Location" ma:hidden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hidden="true" ma:internalName="MediaServiceOCR" ma:readOnly="true">
      <xsd:simpleType>
        <xsd:restriction base="dms:Note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hidden="true" ma:internalName="MediaServiceKeyPoints" ma:readOnly="true">
      <xsd:simpleType>
        <xsd:restriction base="dms:Note"/>
      </xsd:simpleType>
    </xsd:element>
    <xsd:element name="MediaLengthInSeconds" ma:index="21" nillable="true" ma:displayName="Length (seconds)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cbe510b7-ffda-4575-8440-ebac5cff5c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c714c9-4e36-4e67-8f8d-7c5b2672550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hidden="true" ma:internalName="SharedWithDetails" ma:readOnly="true">
      <xsd:simpleType>
        <xsd:restriction base="dms:Note"/>
      </xsd:simpleType>
    </xsd:element>
    <xsd:element name="TaxCatchAll" ma:index="24" nillable="true" ma:displayName="Taxonomy Catch All Column" ma:hidden="true" ma:list="{58080963-025f-4ebe-87c2-563580550fe2}" ma:internalName="TaxCatchAll" ma:readOnly="false" ma:showField="CatchAllData" ma:web="8ec714c9-4e36-4e67-8f8d-7c5b267255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ec714c9-4e36-4e67-8f8d-7c5b26725506" xsi:nil="true"/>
    <_Flow_SignoffStatus xmlns="9d121a4c-2861-47bc-9530-2e51aec9a109" xsi:nil="true"/>
    <lcf76f155ced4ddcb4097134ff3c332f xmlns="9d121a4c-2861-47bc-9530-2e51aec9a109">
      <Terms xmlns="http://schemas.microsoft.com/office/infopath/2007/PartnerControls"/>
    </lcf76f155ced4ddcb4097134ff3c332f>
    <SharedWithUsers xmlns="8ec714c9-4e36-4e67-8f8d-7c5b26725506">
      <UserInfo>
        <DisplayName>Fac_MAT Members</DisplayName>
        <AccountId>1477</AccountId>
        <AccountType/>
      </UserInfo>
      <UserInfo>
        <DisplayName>Fac_SCI Members</DisplayName>
        <AccountId>1478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4F2A2744-04F2-43B3-928D-57D1EC5ED3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121a4c-2861-47bc-9530-2e51aec9a109"/>
    <ds:schemaRef ds:uri="8ec714c9-4e36-4e67-8f8d-7c5b267255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4035810-97FB-4A14-9906-922740667A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4554C6-FDC8-46C8-A0C4-66CCD25EAC6C}">
  <ds:schemaRefs>
    <ds:schemaRef ds:uri="http://schemas.microsoft.com/office/2006/metadata/properties"/>
    <ds:schemaRef ds:uri="http://schemas.microsoft.com/office/infopath/2007/PartnerControls"/>
    <ds:schemaRef ds:uri="8ec714c9-4e36-4e67-8f8d-7c5b26725506"/>
    <ds:schemaRef ds:uri="9d121a4c-2861-47bc-9530-2e51aec9a10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 Exam Timer</vt:lpstr>
      <vt:lpstr>External Exam Timer YR12</vt:lpstr>
      <vt:lpstr>yr12donttouch</vt:lpstr>
      <vt:lpstr>examdatabase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j.anderson@stpauls.qld.edu.au</dc:creator>
  <cp:keywords/>
  <dc:description/>
  <cp:lastModifiedBy>Jayden Anderson</cp:lastModifiedBy>
  <cp:revision/>
  <dcterms:created xsi:type="dcterms:W3CDTF">2020-11-17T02:34:32Z</dcterms:created>
  <dcterms:modified xsi:type="dcterms:W3CDTF">2026-09-04T01:57:23Z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0x010100E2124AAED1CA8A43BC37C60A3AAEFAC3</vt:lpwstr>
  </property>
  <property fmtid="{D5CDD505-2E9C-101B-9397-08002B2CF9AE}" pid="3" name="MediaServiceImageTags">
    <vt:lpwstr/>
  </property>
</Properties>
</file>